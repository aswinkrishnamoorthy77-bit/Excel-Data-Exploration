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hidePivotFieldList="1"/>
  <mc:AlternateContent xmlns:mc="http://schemas.openxmlformats.org/markup-compatibility/2006">
    <mc:Choice Requires="x15">
      <x15ac:absPath xmlns:x15ac="http://schemas.microsoft.com/office/spreadsheetml/2010/11/ac" url="D:\project 1\"/>
    </mc:Choice>
  </mc:AlternateContent>
  <xr:revisionPtr revIDLastSave="0" documentId="8_{E8921BA4-2B89-4EC6-8A4A-9101D61F35D4}" xr6:coauthVersionLast="34" xr6:coauthVersionMax="34" xr10:uidLastSave="{00000000-0000-0000-0000-000000000000}"/>
  <bookViews>
    <workbookView xWindow="0" yWindow="0" windowWidth="23040" windowHeight="8664" xr2:uid="{00000000-000D-0000-FFFF-FFFF00000000}"/>
  </bookViews>
  <sheets>
    <sheet name="Dataset" sheetId="1" r:id="rId1"/>
    <sheet name="SUM,COUNT,AVERAGE" sheetId="2" r:id="rId2"/>
    <sheet name="MIN,MAX" sheetId="3" r:id="rId3"/>
    <sheet name="IF" sheetId="6" r:id="rId4"/>
    <sheet name="SUMIF,COUNTIF" sheetId="4" r:id="rId5"/>
    <sheet name="LEFT,RIGHT,MID" sheetId="5" r:id="rId6"/>
    <sheet name="pivot table" sheetId="11" r:id="rId7"/>
    <sheet name="chart" sheetId="12" r:id="rId8"/>
  </sheets>
  <definedNames>
    <definedName name="_xlchart.v1.0" hidden="1">'LEFT,RIGHT,MID'!$A$2:$C$35</definedName>
    <definedName name="_xlchart.v1.1" hidden="1">'LEFT,RIGHT,MID'!$D$1</definedName>
    <definedName name="_xlchart.v1.10" hidden="1">'LEFT,RIGHT,MID'!$H$2:$H$35</definedName>
    <definedName name="_xlchart.v1.11" hidden="1">'LEFT,RIGHT,MID'!$I$1</definedName>
    <definedName name="_xlchart.v1.12" hidden="1">'LEFT,RIGHT,MID'!$I$2:$I$35</definedName>
    <definedName name="_xlchart.v1.2" hidden="1">'LEFT,RIGHT,MID'!$D$2:$D$35</definedName>
    <definedName name="_xlchart.v1.3" hidden="1">'LEFT,RIGHT,MID'!$E$1</definedName>
    <definedName name="_xlchart.v1.4" hidden="1">'LEFT,RIGHT,MID'!$E$2:$E$35</definedName>
    <definedName name="_xlchart.v1.5" hidden="1">'LEFT,RIGHT,MID'!$F$1</definedName>
    <definedName name="_xlchart.v1.6" hidden="1">'LEFT,RIGHT,MID'!$F$2:$F$35</definedName>
    <definedName name="_xlchart.v1.7" hidden="1">'LEFT,RIGHT,MID'!$G$1</definedName>
    <definedName name="_xlchart.v1.8" hidden="1">'LEFT,RIGHT,MID'!$G$2:$G$35</definedName>
    <definedName name="_xlchart.v1.9" hidden="1">'LEFT,RIGHT,MID'!$H$1</definedName>
    <definedName name="Slicer_Category">#N/A</definedName>
    <definedName name="Slicer_Product_Name">#N/A</definedName>
  </definedNames>
  <calcPr calcId="179021"/>
  <pivotCaches>
    <pivotCache cacheId="10" r:id="rId9"/>
    <pivotCache cacheId="24" r:id="rId10"/>
    <pivotCache cacheId="38" r:id="rId11"/>
    <pivotCache cacheId="46" r:id="rId12"/>
    <pivotCache cacheId="63" r:id="rId13"/>
    <pivotCache cacheId="87" r:id="rId14"/>
  </pivotCaches>
  <extLst>
    <ext xmlns:x14="http://schemas.microsoft.com/office/spreadsheetml/2009/9/main" uri="{876F7934-8845-4945-9796-88D515C7AA90}">
      <x14:pivotCaches>
        <pivotCache cacheId="8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pivot table!$A$1:$I$35"/>
        </x15:modelTables>
      </x15:dataModel>
    </ext>
    <ext uri="GoogleSheetsCustomDataVersion2">
      <go:sheetsCustomData xmlns:go="http://customooxmlschemas.google.com/" r:id="rId18" roundtripDataChecksum="hJb8T1ZghnA6qFS/bC5j8xshLTM/vtIaNva7vzkMTCI="/>
    </ext>
  </extLst>
</workbook>
</file>

<file path=xl/calcChain.xml><?xml version="1.0" encoding="utf-8"?>
<calcChain xmlns="http://schemas.openxmlformats.org/spreadsheetml/2006/main">
  <c r="I35" i="5" l="1"/>
  <c r="H31" i="5"/>
  <c r="H32" i="5"/>
  <c r="H33" i="5"/>
  <c r="H34" i="5"/>
  <c r="H35"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2" i="5"/>
  <c r="H2" i="5"/>
  <c r="G34" i="5"/>
  <c r="G35"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2" i="5"/>
  <c r="Q9" i="4"/>
  <c r="Q6" i="4"/>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O9" i="3"/>
  <c r="O8" i="3"/>
  <c r="O10" i="2"/>
  <c r="O8" i="2"/>
  <c r="O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3DCA0C-4455-4D0D-8965-A70F18DF06D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4246BD-323C-453E-BD4A-DA74E14DCF5F}" name="WorksheetConnection_pivot table!$A$1:$I$35" type="102" refreshedVersion="6" minRefreshableVersion="5">
    <extLst>
      <ext xmlns:x15="http://schemas.microsoft.com/office/spreadsheetml/2010/11/main" uri="{DE250136-89BD-433C-8126-D09CA5730AF9}">
        <x15:connection id="Range" autoDelete="1">
          <x15:rangePr sourceName=""/>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Category].[All]}"/>
    <s v="{[Range].[Product Name 2].[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<sst xmlns="http://schemas.openxmlformats.org/spreadsheetml/2006/main" count="971" uniqueCount="120">
  <si>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</si>
  <si>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</si>
  <si>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</si>
  <si>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</si>
  <si>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</si>
  <si>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</si>
  <si>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</si>
  <si>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</si>
  <si>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</si>
  <si>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</si>
  <si>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</si>
  <si>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</si>
  <si>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</si>
  <si>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</si>
  <si>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</si>
  <si>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</si>
  <si>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</si>
  <si>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</si>
  <si>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</si>
  <si>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</si>
  <si>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</si>
  <si>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</si>
  <si>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</si>
  <si>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</si>
  <si>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</si>
  <si>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</si>
  <si>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</si>
  <si>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</si>
  <si>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</si>
  <si>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</si>
  <si>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</si>
  <si>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</si>
  <si>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</si>
  <si>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</si>
  <si>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</si>
  <si>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</si>
  <si>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</si>
  <si>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</si>
  <si>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</si>
  <si>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</si>
  <si>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</si>
  <si>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</si>
  <si>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</si>
  <si>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</si>
  <si>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</si>
  <si>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</si>
  <si>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</si>
  <si>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</si>
  <si>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</si>
  <si>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</si>
  <si>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</si>
  <si>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</si>
  <si>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</si>
  <si>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</si>
  <si>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</si>
  <si>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</si>
  <si>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</si>
  <si>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</si>
  <si>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</si>
  <si>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</si>
  <si>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</si>
  <si>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</si>
  <si>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</si>
  <si>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</si>
  <si>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</si>
  <si>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</si>
  <si>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</si>
  <si>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</si>
  <si>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</si>
  <si>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</si>
  <si>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</si>
  <si>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</si>
  <si>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</si>
  <si>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</si>
  <si>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</si>
  <si>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</si>
  <si>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</si>
  <si>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</si>
  <si>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</si>
  <si>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</si>
  <si>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</si>
  <si>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</si>
  <si>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</si>
  <si>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</si>
  <si>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</si>
  <si>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</si>
  <si>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</si>
  <si>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</si>
  <si>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</si>
  <si>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</si>
  <si>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</si>
  <si>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</si>
  <si>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</si>
  <si>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the minimum price among all products.</t>
  </si>
  <si>
    <t xml:space="preserve">the maximum price among all products. </t>
  </si>
  <si>
    <t>Calculate the total price of all products in the dataset.</t>
  </si>
  <si>
    <t>Determine how many products exist in the dataset.</t>
  </si>
  <si>
    <t>Calculate the average price of the products.</t>
  </si>
  <si>
    <t>Identify the minimum price among all products.</t>
  </si>
  <si>
    <t>● Identify the maximum price among all products.</t>
  </si>
  <si>
    <t>price range</t>
  </si>
  <si>
    <t>high price</t>
  </si>
  <si>
    <t>standard price</t>
  </si>
  <si>
    <t>Use the SUMIF function to calculate the total price of products in the Electronics category</t>
  </si>
  <si>
    <t>Use the COUNTIF function to determine the number of products with a price less than $100</t>
  </si>
  <si>
    <t>Create a new column named Country Code by extracting the last 2 characters from the 'Product ID' column using the RIGHT function.</t>
  </si>
  <si>
    <t>day</t>
  </si>
  <si>
    <t>country code</t>
  </si>
  <si>
    <t>month</t>
  </si>
  <si>
    <t>Create a new column named Month by extracting the 4th to 6th characters from the 'Product ID' column using the MID function.</t>
  </si>
  <si>
    <t>Row Labels</t>
  </si>
  <si>
    <t>Grand Total</t>
  </si>
  <si>
    <t>Sum of Price ($)</t>
  </si>
  <si>
    <t>Sum of Quantity</t>
  </si>
  <si>
    <t>Count of Product Name</t>
  </si>
  <si>
    <t>All</t>
  </si>
  <si>
    <t>Product Name 2</t>
  </si>
  <si>
    <t>Create a new column named Price Range.</t>
  </si>
  <si>
    <t>If Price ≥ $500 → classify as High Price</t>
  </si>
  <si>
    <t>Create a new column named Day with the first 2 characters of each 'Product ID' using the LEFT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</si>
</sst>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ont>
    <font>
      <sz val="10"/>
      <color theme="1"/>
      <name val="Arial"/>
    </font>
    <font>
      <sz val="11"/>
      <color rgb="FF006100"/>
      <name val="Arial"/>
      <family val="2"/>
      <scheme val="minor"/>
    </font>
    <font>
      <b/>
      <sz val="10"/>
      <color rgb="FF000000"/>
      <name val="Arial"/>
      <family val="2"/>
      <scheme val="minor"/>
    </font>
    <font>
      <sz val="10"/>
      <color rgb="FF000000"/>
      <name val="Arial"/>
      <family val="2"/>
      <scheme val="minor"/>
    </font>
    <font>
      <b/>
      <sz val="10"/>
      <color theme="1"/>
      <name val="Arial"/>
      <family val="2"/>
    </font>
    <font>
      <sz val="10"/>
      <color rgb="FFFF0000"/>
      <name val="Arial"/>
      <family val="2"/>
      <scheme val="minor"/>
    </font>
  </fonts>
  <fills count="7">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FFFF"/>
        <bgColor rgb="FFFFFFFF"/>
      </patternFill>
    </fill>
    <fill>
      <patternFill patternType="solid">
        <fgColor rgb="FFC6EFCE"/>
      </patternFill>
    </fill>
    <fill>
      <patternFill patternType="solid">
        <fgColor theme="5"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3" fillId="5" borderId="0" applyNumberFormat="0" applyBorder="0" applyAlignment="0" applyProtection="0"/>
  </cellStyleXfs>
  <cellXfs count="28">
    <xf numFmtId="0" fontId="0" fillId="0" borderId="0" xfId="0" applyFont="1" applyAlignment="1"/>
    <xf numFmtId="0" fontId="1" fillId="2" borderId="0" xfId="0" applyFont="1" applyFill="1" applyAlignment="1">
      <alignment horizontal="center"/>
    </xf>
    <xf numFmtId="0" fontId="1" fillId="0" borderId="0" xfId="0" applyFont="1" applyAlignment="1">
      <alignment horizontal="center"/>
    </xf>
    <xf numFmtId="0" fontId="2" fillId="0" borderId="0" xfId="0" applyFont="1"/>
    <xf numFmtId="0" fontId="2" fillId="3" borderId="0" xfId="0" applyFont="1" applyFill="1"/>
    <xf numFmtId="0" fontId="2" fillId="4" borderId="0" xfId="0" applyFont="1" applyFill="1" applyAlignment="1"/>
    <xf numFmtId="0" fontId="4" fillId="0" borderId="0" xfId="0" applyFont="1" applyAlignment="1"/>
    <xf numFmtId="0" fontId="5" fillId="0" borderId="0" xfId="0" applyFont="1" applyAlignment="1">
      <alignment wrapText="1"/>
    </xf>
    <xf numFmtId="0" fontId="6" fillId="2" borderId="0" xfId="0" applyFont="1" applyFill="1" applyAlignment="1">
      <alignment horizontal="center"/>
    </xf>
    <xf numFmtId="0" fontId="2" fillId="0" borderId="0" xfId="0" applyFont="1" applyAlignment="1"/>
    <xf numFmtId="0" fontId="2" fillId="3" borderId="0" xfId="0" applyFont="1" applyFill="1" applyAlignment="1"/>
    <xf numFmtId="0" fontId="0" fillId="0" borderId="0" xfId="0"/>
    <xf numFmtId="0" fontId="3" fillId="5" borderId="0" xfId="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0" fontId="7" fillId="6" borderId="0" xfId="0" applyFont="1" applyFill="1" applyAlignment="1"/>
    <xf numFmtId="0" fontId="0" fillId="6" borderId="0" xfId="0" applyFont="1" applyFill="1" applyAlignment="1"/>
  </cellXfs>
  <cellStyles count="2">
    <cellStyle name="Good" xfId="1" builtinId="26"/>
    <cellStyle name="Normal" xfId="0" builtinId="0"/>
  </cellStyles>
  <dxfs count="0"/>
  <tableStyles count="0" defaultTableStyle="TableStyleMedium2" defaultPivotStyle="PivotStyleLight16"/>
  <colors>
    <mruColors>
      <color rgb="FFD3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1 - Data Exploration (1).xlsx]LEFT,RIGHT,MID!PivotTable3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'LEFT,RIGHT,MID'!$K$2</c:f>
              <c:strCache>
                <c:ptCount val="1"/>
                <c:pt idx="0">
                  <c:v>Sum of Price ($)</c:v>
                </c:pt>
              </c:strCache>
            </c:strRef>
          </c:tx>
          <c:spPr>
            <a:solidFill>
              <a:schemeClr val="accent1"/>
            </a:solidFill>
            <a:ln>
              <a:noFill/>
            </a:ln>
            <a:effectLst/>
          </c:spPr>
          <c:cat>
            <c:multiLvlStrRef>
              <c:f>'LEFT,RIGHT,MID'!$J$3:$J$25</c:f>
              <c:multiLvlStrCache>
                <c:ptCount val="11"/>
                <c:lvl>
                  <c:pt idx="0">
                    <c:v>Tablet</c:v>
                  </c:pt>
                  <c:pt idx="1">
                    <c:v>Headphones</c:v>
                  </c:pt>
                  <c:pt idx="2">
                    <c:v>Smartphone</c:v>
                  </c:pt>
                  <c:pt idx="3">
                    <c:v>Blender</c:v>
                  </c:pt>
                  <c:pt idx="4">
                    <c:v>Camping Tent</c:v>
                  </c:pt>
                  <c:pt idx="5">
                    <c:v>Camera</c:v>
                  </c:pt>
                  <c:pt idx="6">
                    <c:v>Headphones</c:v>
                  </c:pt>
                  <c:pt idx="7">
                    <c:v>Laptop</c:v>
                  </c:pt>
                  <c:pt idx="8">
                    <c:v>Laptop</c:v>
                  </c:pt>
                  <c:pt idx="9">
                    <c:v>Laptop</c:v>
                  </c:pt>
                  <c:pt idx="10">
                    <c:v>Smartphone</c:v>
                  </c:pt>
                </c:lvl>
                <c:lvl>
                  <c:pt idx="0">
                    <c:v>05-SEP-UK</c:v>
                  </c:pt>
                  <c:pt idx="1">
                    <c:v>07-JUN-UK</c:v>
                  </c:pt>
                  <c:pt idx="2">
                    <c:v>11-APR-US</c:v>
                  </c:pt>
                  <c:pt idx="3">
                    <c:v>11-JUL-CA</c:v>
                  </c:pt>
                  <c:pt idx="4">
                    <c:v>14-AUG-US</c:v>
                  </c:pt>
                  <c:pt idx="5">
                    <c:v>14-MAY-RU</c:v>
                  </c:pt>
                  <c:pt idx="6">
                    <c:v>16-APR-ES</c:v>
                  </c:pt>
                  <c:pt idx="7">
                    <c:v>17-JUN-IN</c:v>
                  </c:pt>
                  <c:pt idx="8">
                    <c:v>27-JAN-IT</c:v>
                  </c:pt>
                  <c:pt idx="9">
                    <c:v>28-JAN-US</c:v>
                  </c:pt>
                  <c:pt idx="10">
                    <c:v>29-SEP-CA</c:v>
                  </c:pt>
                </c:lvl>
              </c:multiLvlStrCache>
            </c:multiLvlStrRef>
          </c:cat>
          <c:val>
            <c:numRef>
              <c:f>'LEFT,RIGHT,MID'!$K$3:$K$25</c:f>
              <c:numCache>
                <c:formatCode>General</c:formatCode>
                <c:ptCount val="11"/>
                <c:pt idx="0">
                  <c:v>500</c:v>
                </c:pt>
                <c:pt idx="1">
                  <c:v>200</c:v>
                </c:pt>
                <c:pt idx="2">
                  <c:v>900</c:v>
                </c:pt>
                <c:pt idx="3">
                  <c:v>400</c:v>
                </c:pt>
                <c:pt idx="4">
                  <c:v>200</c:v>
                </c:pt>
                <c:pt idx="5">
                  <c:v>700</c:v>
                </c:pt>
                <c:pt idx="6">
                  <c:v>480</c:v>
                </c:pt>
                <c:pt idx="7">
                  <c:v>1900</c:v>
                </c:pt>
                <c:pt idx="8">
                  <c:v>980</c:v>
                </c:pt>
                <c:pt idx="9">
                  <c:v>1000</c:v>
                </c:pt>
                <c:pt idx="10">
                  <c:v>800</c:v>
                </c:pt>
              </c:numCache>
            </c:numRef>
          </c:val>
          <c:extLst>
            <c:ext xmlns:c16="http://schemas.microsoft.com/office/drawing/2014/chart" uri="{C3380CC4-5D6E-409C-BE32-E72D297353CC}">
              <c16:uniqueId val="{00000000-C480-409B-9A30-1CD48CCC2918}"/>
            </c:ext>
          </c:extLst>
        </c:ser>
        <c:ser>
          <c:idx val="1"/>
          <c:order val="1"/>
          <c:tx>
            <c:strRef>
              <c:f>'LEFT,RIGHT,MID'!$L$2</c:f>
              <c:strCache>
                <c:ptCount val="1"/>
                <c:pt idx="0">
                  <c:v>Sum of Quantity</c:v>
                </c:pt>
              </c:strCache>
            </c:strRef>
          </c:tx>
          <c:spPr>
            <a:solidFill>
              <a:schemeClr val="accent2"/>
            </a:solidFill>
            <a:ln>
              <a:noFill/>
            </a:ln>
            <a:effectLst/>
          </c:spPr>
          <c:cat>
            <c:multiLvlStrRef>
              <c:f>'LEFT,RIGHT,MID'!$J$3:$J$25</c:f>
              <c:multiLvlStrCache>
                <c:ptCount val="11"/>
                <c:lvl>
                  <c:pt idx="0">
                    <c:v>Tablet</c:v>
                  </c:pt>
                  <c:pt idx="1">
                    <c:v>Headphones</c:v>
                  </c:pt>
                  <c:pt idx="2">
                    <c:v>Smartphone</c:v>
                  </c:pt>
                  <c:pt idx="3">
                    <c:v>Blender</c:v>
                  </c:pt>
                  <c:pt idx="4">
                    <c:v>Camping Tent</c:v>
                  </c:pt>
                  <c:pt idx="5">
                    <c:v>Camera</c:v>
                  </c:pt>
                  <c:pt idx="6">
                    <c:v>Headphones</c:v>
                  </c:pt>
                  <c:pt idx="7">
                    <c:v>Laptop</c:v>
                  </c:pt>
                  <c:pt idx="8">
                    <c:v>Laptop</c:v>
                  </c:pt>
                  <c:pt idx="9">
                    <c:v>Laptop</c:v>
                  </c:pt>
                  <c:pt idx="10">
                    <c:v>Smartphone</c:v>
                  </c:pt>
                </c:lvl>
                <c:lvl>
                  <c:pt idx="0">
                    <c:v>05-SEP-UK</c:v>
                  </c:pt>
                  <c:pt idx="1">
                    <c:v>07-JUN-UK</c:v>
                  </c:pt>
                  <c:pt idx="2">
                    <c:v>11-APR-US</c:v>
                  </c:pt>
                  <c:pt idx="3">
                    <c:v>11-JUL-CA</c:v>
                  </c:pt>
                  <c:pt idx="4">
                    <c:v>14-AUG-US</c:v>
                  </c:pt>
                  <c:pt idx="5">
                    <c:v>14-MAY-RU</c:v>
                  </c:pt>
                  <c:pt idx="6">
                    <c:v>16-APR-ES</c:v>
                  </c:pt>
                  <c:pt idx="7">
                    <c:v>17-JUN-IN</c:v>
                  </c:pt>
                  <c:pt idx="8">
                    <c:v>27-JAN-IT</c:v>
                  </c:pt>
                  <c:pt idx="9">
                    <c:v>28-JAN-US</c:v>
                  </c:pt>
                  <c:pt idx="10">
                    <c:v>29-SEP-CA</c:v>
                  </c:pt>
                </c:lvl>
              </c:multiLvlStrCache>
            </c:multiLvlStrRef>
          </c:cat>
          <c:val>
            <c:numRef>
              <c:f>'LEFT,RIGHT,MID'!$L$3:$L$25</c:f>
              <c:numCache>
                <c:formatCode>General</c:formatCode>
                <c:ptCount val="11"/>
                <c:pt idx="0">
                  <c:v>50</c:v>
                </c:pt>
                <c:pt idx="1">
                  <c:v>45</c:v>
                </c:pt>
                <c:pt idx="2">
                  <c:v>25</c:v>
                </c:pt>
                <c:pt idx="3">
                  <c:v>40</c:v>
                </c:pt>
                <c:pt idx="4">
                  <c:v>10</c:v>
                </c:pt>
                <c:pt idx="5">
                  <c:v>50</c:v>
                </c:pt>
                <c:pt idx="6">
                  <c:v>40</c:v>
                </c:pt>
                <c:pt idx="7">
                  <c:v>50</c:v>
                </c:pt>
                <c:pt idx="8">
                  <c:v>10</c:v>
                </c:pt>
                <c:pt idx="9">
                  <c:v>30</c:v>
                </c:pt>
                <c:pt idx="10">
                  <c:v>45</c:v>
                </c:pt>
              </c:numCache>
            </c:numRef>
          </c:val>
          <c:extLst>
            <c:ext xmlns:c16="http://schemas.microsoft.com/office/drawing/2014/chart" uri="{C3380CC4-5D6E-409C-BE32-E72D297353CC}">
              <c16:uniqueId val="{00000001-C480-409B-9A30-1CD48CCC2918}"/>
            </c:ext>
          </c:extLst>
        </c:ser>
        <c:dLbls>
          <c:showLegendKey val="0"/>
          <c:showVal val="0"/>
          <c:showCatName val="0"/>
          <c:showSerName val="0"/>
          <c:showPercent val="0"/>
          <c:showBubbleSize val="0"/>
        </c:dLbls>
        <c:axId val="1242866607"/>
        <c:axId val="1243767167"/>
      </c:areaChart>
      <c:catAx>
        <c:axId val="12428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67167"/>
        <c:crosses val="autoZero"/>
        <c:auto val="1"/>
        <c:lblAlgn val="ctr"/>
        <c:lblOffset val="100"/>
        <c:noMultiLvlLbl val="0"/>
      </c:catAx>
      <c:valAx>
        <c:axId val="124376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66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1 - Data Exploration (1).xlsx]LEFT,RIGHT,MID!PivotTable3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s>
    <c:plotArea>
      <c:layout/>
      <c:pieChart>
        <c:varyColors val="1"/>
        <c:ser>
          <c:idx val="0"/>
          <c:order val="0"/>
          <c:tx>
            <c:strRef>
              <c:f>'LEFT,RIGHT,MID'!$K$2</c:f>
              <c:strCache>
                <c:ptCount val="1"/>
                <c:pt idx="0">
                  <c:v>Sum of Price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22-4BB0-AF5A-BF99A4435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22-4BB0-AF5A-BF99A4435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22-4BB0-AF5A-BF99A4435A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22-4BB0-AF5A-BF99A4435A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22-4BB0-AF5A-BF99A4435A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22-4BB0-AF5A-BF99A4435A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22-4BB0-AF5A-BF99A4435A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A22-4BB0-AF5A-BF99A4435A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A22-4BB0-AF5A-BF99A4435A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A22-4BB0-AF5A-BF99A4435A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A22-4BB0-AF5A-BF99A4435A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A22-4BB0-AF5A-BF99A4435A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A22-4BB0-AF5A-BF99A4435A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A22-4BB0-AF5A-BF99A4435A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A22-4BB0-AF5A-BF99A4435A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A22-4BB0-AF5A-BF99A4435A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A22-4BB0-AF5A-BF99A4435A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A22-4BB0-AF5A-BF99A4435A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A22-4BB0-AF5A-BF99A4435A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A22-4BB0-AF5A-BF99A4435A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A22-4BB0-AF5A-BF99A4435A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A22-4BB0-AF5A-BF99A4435AD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A22-4BB0-AF5A-BF99A4435AD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A22-4BB0-AF5A-BF99A4435AD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A22-4BB0-AF5A-BF99A4435AD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A22-4BB0-AF5A-BF99A4435AD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A22-4BB0-AF5A-BF99A4435AD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A22-4BB0-AF5A-BF99A4435AD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A22-4BB0-AF5A-BF99A4435AD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A22-4BB0-AF5A-BF99A4435AD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A22-4BB0-AF5A-BF99A4435AD8}"/>
              </c:ext>
            </c:extLst>
          </c:dPt>
          <c:cat>
            <c:multiLvlStrRef>
              <c:f>'LEFT,RIGHT,MID'!$J$3:$J$25</c:f>
              <c:multiLvlStrCache>
                <c:ptCount val="11"/>
                <c:lvl>
                  <c:pt idx="0">
                    <c:v>Tablet</c:v>
                  </c:pt>
                  <c:pt idx="1">
                    <c:v>Headphones</c:v>
                  </c:pt>
                  <c:pt idx="2">
                    <c:v>Smartphone</c:v>
                  </c:pt>
                  <c:pt idx="3">
                    <c:v>Blender</c:v>
                  </c:pt>
                  <c:pt idx="4">
                    <c:v>Camping Tent</c:v>
                  </c:pt>
                  <c:pt idx="5">
                    <c:v>Camera</c:v>
                  </c:pt>
                  <c:pt idx="6">
                    <c:v>Headphones</c:v>
                  </c:pt>
                  <c:pt idx="7">
                    <c:v>Laptop</c:v>
                  </c:pt>
                  <c:pt idx="8">
                    <c:v>Laptop</c:v>
                  </c:pt>
                  <c:pt idx="9">
                    <c:v>Laptop</c:v>
                  </c:pt>
                  <c:pt idx="10">
                    <c:v>Smartphone</c:v>
                  </c:pt>
                </c:lvl>
                <c:lvl>
                  <c:pt idx="0">
                    <c:v>05-SEP-UK</c:v>
                  </c:pt>
                  <c:pt idx="1">
                    <c:v>07-JUN-UK</c:v>
                  </c:pt>
                  <c:pt idx="2">
                    <c:v>11-APR-US</c:v>
                  </c:pt>
                  <c:pt idx="3">
                    <c:v>11-JUL-CA</c:v>
                  </c:pt>
                  <c:pt idx="4">
                    <c:v>14-AUG-US</c:v>
                  </c:pt>
                  <c:pt idx="5">
                    <c:v>14-MAY-RU</c:v>
                  </c:pt>
                  <c:pt idx="6">
                    <c:v>16-APR-ES</c:v>
                  </c:pt>
                  <c:pt idx="7">
                    <c:v>17-JUN-IN</c:v>
                  </c:pt>
                  <c:pt idx="8">
                    <c:v>27-JAN-IT</c:v>
                  </c:pt>
                  <c:pt idx="9">
                    <c:v>28-JAN-US</c:v>
                  </c:pt>
                  <c:pt idx="10">
                    <c:v>29-SEP-CA</c:v>
                  </c:pt>
                </c:lvl>
              </c:multiLvlStrCache>
            </c:multiLvlStrRef>
          </c:cat>
          <c:val>
            <c:numRef>
              <c:f>'LEFT,RIGHT,MID'!$K$3:$K$25</c:f>
              <c:numCache>
                <c:formatCode>General</c:formatCode>
                <c:ptCount val="11"/>
                <c:pt idx="0">
                  <c:v>500</c:v>
                </c:pt>
                <c:pt idx="1">
                  <c:v>200</c:v>
                </c:pt>
                <c:pt idx="2">
                  <c:v>900</c:v>
                </c:pt>
                <c:pt idx="3">
                  <c:v>400</c:v>
                </c:pt>
                <c:pt idx="4">
                  <c:v>200</c:v>
                </c:pt>
                <c:pt idx="5">
                  <c:v>700</c:v>
                </c:pt>
                <c:pt idx="6">
                  <c:v>480</c:v>
                </c:pt>
                <c:pt idx="7">
                  <c:v>1900</c:v>
                </c:pt>
                <c:pt idx="8">
                  <c:v>980</c:v>
                </c:pt>
                <c:pt idx="9">
                  <c:v>1000</c:v>
                </c:pt>
                <c:pt idx="10">
                  <c:v>800</c:v>
                </c:pt>
              </c:numCache>
            </c:numRef>
          </c:val>
          <c:extLst>
            <c:ext xmlns:c16="http://schemas.microsoft.com/office/drawing/2014/chart" uri="{C3380CC4-5D6E-409C-BE32-E72D297353CC}">
              <c16:uniqueId val="{0000003E-EA22-4BB0-AF5A-BF99A4435AD8}"/>
            </c:ext>
          </c:extLst>
        </c:ser>
        <c:ser>
          <c:idx val="1"/>
          <c:order val="1"/>
          <c:tx>
            <c:strRef>
              <c:f>'LEFT,RIGHT,MID'!$L$2</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0-EA22-4BB0-AF5A-BF99A4435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2-EA22-4BB0-AF5A-BF99A4435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4-EA22-4BB0-AF5A-BF99A4435A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6-EA22-4BB0-AF5A-BF99A4435A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8-EA22-4BB0-AF5A-BF99A4435A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A-EA22-4BB0-AF5A-BF99A4435A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C-EA22-4BB0-AF5A-BF99A4435A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E-EA22-4BB0-AF5A-BF99A4435A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0-EA22-4BB0-AF5A-BF99A4435A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2-EA22-4BB0-AF5A-BF99A4435A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4-EA22-4BB0-AF5A-BF99A4435A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6-EA22-4BB0-AF5A-BF99A4435A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8-EA22-4BB0-AF5A-BF99A4435A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A-EA22-4BB0-AF5A-BF99A4435A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C-EA22-4BB0-AF5A-BF99A4435A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E-EA22-4BB0-AF5A-BF99A4435A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0-EA22-4BB0-AF5A-BF99A4435A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2-EA22-4BB0-AF5A-BF99A4435A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64-EA22-4BB0-AF5A-BF99A4435A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6-EA22-4BB0-AF5A-BF99A4435A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8-EA22-4BB0-AF5A-BF99A4435A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A-EA22-4BB0-AF5A-BF99A4435AD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C-EA22-4BB0-AF5A-BF99A4435AD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E-EA22-4BB0-AF5A-BF99A4435AD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70-EA22-4BB0-AF5A-BF99A4435AD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72-EA22-4BB0-AF5A-BF99A4435AD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74-EA22-4BB0-AF5A-BF99A4435AD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6-EA22-4BB0-AF5A-BF99A4435AD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78-EA22-4BB0-AF5A-BF99A4435AD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A-EA22-4BB0-AF5A-BF99A4435AD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7C-EA22-4BB0-AF5A-BF99A4435AD8}"/>
              </c:ext>
            </c:extLst>
          </c:dPt>
          <c:cat>
            <c:multiLvlStrRef>
              <c:f>'LEFT,RIGHT,MID'!$J$3:$J$25</c:f>
              <c:multiLvlStrCache>
                <c:ptCount val="11"/>
                <c:lvl>
                  <c:pt idx="0">
                    <c:v>Tablet</c:v>
                  </c:pt>
                  <c:pt idx="1">
                    <c:v>Headphones</c:v>
                  </c:pt>
                  <c:pt idx="2">
                    <c:v>Smartphone</c:v>
                  </c:pt>
                  <c:pt idx="3">
                    <c:v>Blender</c:v>
                  </c:pt>
                  <c:pt idx="4">
                    <c:v>Camping Tent</c:v>
                  </c:pt>
                  <c:pt idx="5">
                    <c:v>Camera</c:v>
                  </c:pt>
                  <c:pt idx="6">
                    <c:v>Headphones</c:v>
                  </c:pt>
                  <c:pt idx="7">
                    <c:v>Laptop</c:v>
                  </c:pt>
                  <c:pt idx="8">
                    <c:v>Laptop</c:v>
                  </c:pt>
                  <c:pt idx="9">
                    <c:v>Laptop</c:v>
                  </c:pt>
                  <c:pt idx="10">
                    <c:v>Smartphone</c:v>
                  </c:pt>
                </c:lvl>
                <c:lvl>
                  <c:pt idx="0">
                    <c:v>05-SEP-UK</c:v>
                  </c:pt>
                  <c:pt idx="1">
                    <c:v>07-JUN-UK</c:v>
                  </c:pt>
                  <c:pt idx="2">
                    <c:v>11-APR-US</c:v>
                  </c:pt>
                  <c:pt idx="3">
                    <c:v>11-JUL-CA</c:v>
                  </c:pt>
                  <c:pt idx="4">
                    <c:v>14-AUG-US</c:v>
                  </c:pt>
                  <c:pt idx="5">
                    <c:v>14-MAY-RU</c:v>
                  </c:pt>
                  <c:pt idx="6">
                    <c:v>16-APR-ES</c:v>
                  </c:pt>
                  <c:pt idx="7">
                    <c:v>17-JUN-IN</c:v>
                  </c:pt>
                  <c:pt idx="8">
                    <c:v>27-JAN-IT</c:v>
                  </c:pt>
                  <c:pt idx="9">
                    <c:v>28-JAN-US</c:v>
                  </c:pt>
                  <c:pt idx="10">
                    <c:v>29-SEP-CA</c:v>
                  </c:pt>
                </c:lvl>
              </c:multiLvlStrCache>
            </c:multiLvlStrRef>
          </c:cat>
          <c:val>
            <c:numRef>
              <c:f>'LEFT,RIGHT,MID'!$L$3:$L$25</c:f>
              <c:numCache>
                <c:formatCode>General</c:formatCode>
                <c:ptCount val="11"/>
                <c:pt idx="0">
                  <c:v>50</c:v>
                </c:pt>
                <c:pt idx="1">
                  <c:v>45</c:v>
                </c:pt>
                <c:pt idx="2">
                  <c:v>25</c:v>
                </c:pt>
                <c:pt idx="3">
                  <c:v>40</c:v>
                </c:pt>
                <c:pt idx="4">
                  <c:v>10</c:v>
                </c:pt>
                <c:pt idx="5">
                  <c:v>50</c:v>
                </c:pt>
                <c:pt idx="6">
                  <c:v>40</c:v>
                </c:pt>
                <c:pt idx="7">
                  <c:v>50</c:v>
                </c:pt>
                <c:pt idx="8">
                  <c:v>10</c:v>
                </c:pt>
                <c:pt idx="9">
                  <c:v>30</c:v>
                </c:pt>
                <c:pt idx="10">
                  <c:v>45</c:v>
                </c:pt>
              </c:numCache>
            </c:numRef>
          </c:val>
          <c:extLst>
            <c:ext xmlns:c16="http://schemas.microsoft.com/office/drawing/2014/chart" uri="{C3380CC4-5D6E-409C-BE32-E72D297353CC}">
              <c16:uniqueId val="{0000007D-EA22-4BB0-AF5A-BF99A4435A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'LEFT,RIGHT,MID'!$D$1</c:f>
              <c:strCache>
                <c:ptCount val="1"/>
                <c:pt idx="0">
                  <c:v>Price ($)</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'LEFT,RIGHT,MID'!$D$2:$D$35</c:f>
              <c:numCache>
                <c:formatCode>General</c:formatCode>
                <c:ptCount val="34"/>
                <c:pt idx="0">
                  <c:v>1000</c:v>
                </c:pt>
                <c:pt idx="1">
                  <c:v>80</c:v>
                </c:pt>
                <c:pt idx="2">
                  <c:v>130</c:v>
                </c:pt>
                <c:pt idx="3">
                  <c:v>900</c:v>
                </c:pt>
                <c:pt idx="4">
                  <c:v>70</c:v>
                </c:pt>
                <c:pt idx="5">
                  <c:v>200</c:v>
                </c:pt>
                <c:pt idx="6">
                  <c:v>30</c:v>
                </c:pt>
                <c:pt idx="7">
                  <c:v>90</c:v>
                </c:pt>
                <c:pt idx="8">
                  <c:v>500</c:v>
                </c:pt>
                <c:pt idx="9">
                  <c:v>130</c:v>
                </c:pt>
                <c:pt idx="10">
                  <c:v>950</c:v>
                </c:pt>
                <c:pt idx="11">
                  <c:v>90</c:v>
                </c:pt>
                <c:pt idx="12">
                  <c:v>120</c:v>
                </c:pt>
                <c:pt idx="13">
                  <c:v>150</c:v>
                </c:pt>
                <c:pt idx="14">
                  <c:v>250</c:v>
                </c:pt>
                <c:pt idx="15">
                  <c:v>50</c:v>
                </c:pt>
                <c:pt idx="16">
                  <c:v>160</c:v>
                </c:pt>
                <c:pt idx="17">
                  <c:v>980</c:v>
                </c:pt>
                <c:pt idx="18">
                  <c:v>150</c:v>
                </c:pt>
                <c:pt idx="19">
                  <c:v>200</c:v>
                </c:pt>
                <c:pt idx="20">
                  <c:v>700</c:v>
                </c:pt>
                <c:pt idx="21">
                  <c:v>80</c:v>
                </c:pt>
                <c:pt idx="22">
                  <c:v>150</c:v>
                </c:pt>
                <c:pt idx="23">
                  <c:v>50</c:v>
                </c:pt>
                <c:pt idx="24">
                  <c:v>800</c:v>
                </c:pt>
                <c:pt idx="25">
                  <c:v>130</c:v>
                </c:pt>
                <c:pt idx="26">
                  <c:v>400</c:v>
                </c:pt>
                <c:pt idx="27">
                  <c:v>230</c:v>
                </c:pt>
                <c:pt idx="28">
                  <c:v>60</c:v>
                </c:pt>
                <c:pt idx="29">
                  <c:v>40</c:v>
                </c:pt>
                <c:pt idx="30">
                  <c:v>130</c:v>
                </c:pt>
                <c:pt idx="31">
                  <c:v>50</c:v>
                </c:pt>
                <c:pt idx="32">
                  <c:v>950</c:v>
                </c:pt>
                <c:pt idx="33">
                  <c:v>100</c:v>
                </c:pt>
              </c:numCache>
            </c:numRef>
          </c:val>
          <c:extLst>
            <c:ext xmlns:c16="http://schemas.microsoft.com/office/drawing/2014/chart" uri="{C3380CC4-5D6E-409C-BE32-E72D297353CC}">
              <c16:uniqueId val="{00000000-AE2C-4BFB-BAB1-447B2D21EB2A}"/>
            </c:ext>
          </c:extLst>
        </c:ser>
        <c:ser>
          <c:idx val="1"/>
          <c:order val="1"/>
          <c:tx>
            <c:strRef>
              <c:f>'LEFT,RIGHT,MID'!$E$1</c:f>
              <c:strCache>
                <c:ptCount val="1"/>
                <c:pt idx="0">
                  <c:v>Quantity</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'LEFT,RIGHT,MID'!$E$2:$E$35</c:f>
              <c:numCache>
                <c:formatCode>General</c:formatCode>
                <c:ptCount val="34"/>
                <c:pt idx="0">
                  <c:v>30</c:v>
                </c:pt>
                <c:pt idx="1">
                  <c:v>15</c:v>
                </c:pt>
                <c:pt idx="2">
                  <c:v>40</c:v>
                </c:pt>
                <c:pt idx="3">
                  <c:v>25</c:v>
                </c:pt>
                <c:pt idx="4">
                  <c:v>20</c:v>
                </c:pt>
                <c:pt idx="5">
                  <c:v>45</c:v>
                </c:pt>
                <c:pt idx="6">
                  <c:v>5</c:v>
                </c:pt>
                <c:pt idx="7">
                  <c:v>35</c:v>
                </c:pt>
                <c:pt idx="8">
                  <c:v>50</c:v>
                </c:pt>
                <c:pt idx="9">
                  <c:v>10</c:v>
                </c:pt>
                <c:pt idx="10">
                  <c:v>25</c:v>
                </c:pt>
                <c:pt idx="11">
                  <c:v>40</c:v>
                </c:pt>
                <c:pt idx="12">
                  <c:v>35</c:v>
                </c:pt>
                <c:pt idx="13">
                  <c:v>15</c:v>
                </c:pt>
                <c:pt idx="14">
                  <c:v>20</c:v>
                </c:pt>
                <c:pt idx="15">
                  <c:v>35</c:v>
                </c:pt>
                <c:pt idx="16">
                  <c:v>15</c:v>
                </c:pt>
                <c:pt idx="17">
                  <c:v>10</c:v>
                </c:pt>
                <c:pt idx="18">
                  <c:v>15</c:v>
                </c:pt>
                <c:pt idx="19">
                  <c:v>10</c:v>
                </c:pt>
                <c:pt idx="20">
                  <c:v>50</c:v>
                </c:pt>
                <c:pt idx="21">
                  <c:v>20</c:v>
                </c:pt>
                <c:pt idx="22">
                  <c:v>30</c:v>
                </c:pt>
                <c:pt idx="23">
                  <c:v>35</c:v>
                </c:pt>
                <c:pt idx="24">
                  <c:v>45</c:v>
                </c:pt>
                <c:pt idx="25">
                  <c:v>25</c:v>
                </c:pt>
                <c:pt idx="26">
                  <c:v>40</c:v>
                </c:pt>
                <c:pt idx="27">
                  <c:v>20</c:v>
                </c:pt>
                <c:pt idx="28">
                  <c:v>30</c:v>
                </c:pt>
                <c:pt idx="29">
                  <c:v>10</c:v>
                </c:pt>
                <c:pt idx="30">
                  <c:v>5</c:v>
                </c:pt>
                <c:pt idx="31">
                  <c:v>50</c:v>
                </c:pt>
                <c:pt idx="32">
                  <c:v>25</c:v>
                </c:pt>
                <c:pt idx="33">
                  <c:v>20</c:v>
                </c:pt>
              </c:numCache>
            </c:numRef>
          </c:val>
          <c:extLst>
            <c:ext xmlns:c16="http://schemas.microsoft.com/office/drawing/2014/chart" uri="{C3380CC4-5D6E-409C-BE32-E72D297353CC}">
              <c16:uniqueId val="{00000001-AE2C-4BFB-BAB1-447B2D21EB2A}"/>
            </c:ext>
          </c:extLst>
        </c:ser>
        <c:ser>
          <c:idx val="2"/>
          <c:order val="2"/>
          <c:tx>
            <c:strRef>
              <c:f>'LEFT,RIGHT,MID'!$F$1</c:f>
              <c:strCache>
                <c:ptCount val="1"/>
                <c:pt idx="0">
                  <c:v>Category</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'LEFT,RIGHT,MID'!$F$2:$F$35</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2-AE2C-4BFB-BAB1-447B2D21EB2A}"/>
            </c:ext>
          </c:extLst>
        </c:ser>
        <c:ser>
          <c:idx val="3"/>
          <c:order val="3"/>
          <c:tx>
            <c:strRef>
              <c:f>'LEFT,RIGHT,MID'!$G$1</c:f>
              <c:strCache>
                <c:ptCount val="1"/>
                <c:pt idx="0">
                  <c:v>day</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'LEFT,RIGHT,MID'!$G$2:$G$35</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3-AE2C-4BFB-BAB1-447B2D21EB2A}"/>
            </c:ext>
          </c:extLst>
        </c:ser>
        <c:ser>
          <c:idx val="4"/>
          <c:order val="4"/>
          <c:tx>
            <c:strRef>
              <c:f>'LEFT,RIGHT,MID'!$H$1</c:f>
              <c:strCache>
                <c:ptCount val="1"/>
                <c:pt idx="0">
                  <c:v>country code</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'LEFT,RIGHT,MID'!$H$2:$H$35</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4-AE2C-4BFB-BAB1-447B2D21EB2A}"/>
            </c:ext>
          </c:extLst>
        </c:ser>
        <c:ser>
          <c:idx val="5"/>
          <c:order val="5"/>
          <c:tx>
            <c:strRef>
              <c:f>'LEFT,RIGHT,MID'!$I$1</c:f>
              <c:strCache>
                <c:ptCount val="1"/>
                <c:pt idx="0">
                  <c:v>month</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'LEFT,RIGHT,MID'!$A$2:$C$35</c15:sqref>
                  </c15:fullRef>
                  <c15:levelRef>
                    <c15:sqref>'LEFT,RIGHT,MID'!$A$2:$A$35</c15:sqref>
                  </c15:levelRef>
                </c:ext>
              </c:extLst>
              <c:f>'LEFT,RIGHT,MID'!$A$2:$A$35</c:f>
              <c:strCache>
                <c:ptCount val="34"/>
                <c:pt idx="0">
                  <c:v>28-JAN-US</c:v>
                </c:pt>
                <c:pt idx="1">
                  <c:v>15-FEB-US</c:v>
                </c:pt>
                <c:pt idx="2">
                  <c:v>03-MAR-US</c:v>
                </c:pt>
                <c:pt idx="3">
                  <c:v>11-APR-US</c:v>
                </c:pt>
                <c:pt idx="4">
                  <c:v>22-MAY-US</c:v>
                </c:pt>
                <c:pt idx="5">
                  <c:v>07-JUN-UK</c:v>
                </c:pt>
                <c:pt idx="6">
                  <c:v>19-JUL-UK</c:v>
                </c:pt>
                <c:pt idx="7">
                  <c:v>23-AUG-UK</c:v>
                </c:pt>
                <c:pt idx="8">
                  <c:v>05-SEP-UK</c:v>
                </c:pt>
                <c:pt idx="9">
                  <c:v>14-OCT-UK</c:v>
                </c:pt>
                <c:pt idx="10">
                  <c:v>17-JUN-IN</c:v>
                </c:pt>
                <c:pt idx="11">
                  <c:v>25-NOV-AU</c:v>
                </c:pt>
                <c:pt idx="12">
                  <c:v>08-DEC-DE</c:v>
                </c:pt>
                <c:pt idx="13">
                  <c:v>18-FEB-CA</c:v>
                </c:pt>
                <c:pt idx="14">
                  <c:v>16-APR-ES</c:v>
                </c:pt>
                <c:pt idx="15">
                  <c:v>21-AUG-CA</c:v>
                </c:pt>
                <c:pt idx="16">
                  <c:v>20-AUG-CN</c:v>
                </c:pt>
                <c:pt idx="17">
                  <c:v>27-JAN-IT</c:v>
                </c:pt>
                <c:pt idx="18">
                  <c:v>01-MAR-UK</c:v>
                </c:pt>
                <c:pt idx="19">
                  <c:v>14-AUG-US</c:v>
                </c:pt>
                <c:pt idx="20">
                  <c:v>14-MAY-RU</c:v>
                </c:pt>
                <c:pt idx="21">
                  <c:v>09-JAN-CA</c:v>
                </c:pt>
                <c:pt idx="22">
                  <c:v>19-JUL-BR</c:v>
                </c:pt>
                <c:pt idx="23">
                  <c:v>21-AUG-CA</c:v>
                </c:pt>
                <c:pt idx="24">
                  <c:v>29-SEP-CA</c:v>
                </c:pt>
                <c:pt idx="25">
                  <c:v>03-JUN-CA</c:v>
                </c:pt>
                <c:pt idx="26">
                  <c:v>11-JUL-CA</c:v>
                </c:pt>
                <c:pt idx="27">
                  <c:v>16-APR-ES</c:v>
                </c:pt>
                <c:pt idx="28">
                  <c:v>07-MAR-CA</c:v>
                </c:pt>
                <c:pt idx="29">
                  <c:v>13-APR-CA</c:v>
                </c:pt>
                <c:pt idx="30">
                  <c:v>24-MAY-CA</c:v>
                </c:pt>
                <c:pt idx="31">
                  <c:v>02-DEC-CA</c:v>
                </c:pt>
                <c:pt idx="32">
                  <c:v>17-JUN-IN</c:v>
                </c:pt>
                <c:pt idx="33">
                  <c:v>09-JUL-FR</c:v>
                </c:pt>
              </c:strCache>
            </c:strRef>
          </c:cat>
          <c:val>
            <c:numRef>
              <c:f>'LEFT,RIGHT,MID'!$I$2:$I$35</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5-AE2C-4BFB-BAB1-447B2D21EB2A}"/>
            </c:ext>
          </c:extLst>
        </c:ser>
        <c:dLbls>
          <c:showLegendKey val="0"/>
          <c:showVal val="0"/>
          <c:showCatName val="0"/>
          <c:showSerName val="0"/>
          <c:showPercent val="0"/>
          <c:showBubbleSize val="0"/>
        </c:dLbls>
        <c:axId val="74055887"/>
        <c:axId val="751782847"/>
      </c:radarChart>
      <c:catAx>
        <c:axId val="7405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82847"/>
        <c:crosses val="autoZero"/>
        <c:auto val="1"/>
        <c:lblAlgn val="ctr"/>
        <c:lblOffset val="100"/>
        <c:noMultiLvlLbl val="0"/>
      </c:catAx>
      <c:valAx>
        <c:axId val="75178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5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'LEFT,RIGHT,MID'!$A$35:$H$35</c:f>
              <c:strCache>
                <c:ptCount val="8"/>
                <c:pt idx="0">
                  <c:v>09-JUL-FR</c:v>
                </c:pt>
                <c:pt idx="1">
                  <c:v>Watch</c:v>
                </c:pt>
                <c:pt idx="2">
                  <c:v>Casio</c:v>
                </c:pt>
                <c:pt idx="3">
                  <c:v>100</c:v>
                </c:pt>
                <c:pt idx="4">
                  <c:v>20</c:v>
                </c:pt>
                <c:pt idx="5">
                  <c:v>Accessories</c:v>
                </c:pt>
                <c:pt idx="6">
                  <c:v>09</c:v>
                </c:pt>
                <c:pt idx="7">
                  <c:v>FR</c:v>
                </c:pt>
              </c:strCache>
            </c:strRef>
          </c:tx>
          <c:spPr>
            <a:solidFill>
              <a:schemeClr val="accent1"/>
            </a:solidFill>
            <a:ln>
              <a:noFill/>
            </a:ln>
            <a:effectLst/>
            <a:sp3d/>
          </c:spPr>
          <c:invertIfNegative val="0"/>
          <c:cat>
            <c:strRef>
              <c:f>'LEFT,RIGHT,MID'!$I$1:$I$34</c:f>
              <c:strCache>
                <c:ptCount val="34"/>
                <c:pt idx="0">
                  <c:v>month</c:v>
                </c:pt>
                <c:pt idx="1">
                  <c:v>JAN</c:v>
                </c:pt>
                <c:pt idx="2">
                  <c:v>FEB</c:v>
                </c:pt>
                <c:pt idx="3">
                  <c:v>MAR</c:v>
                </c:pt>
                <c:pt idx="4">
                  <c:v>APR</c:v>
                </c:pt>
                <c:pt idx="5">
                  <c:v>MAY</c:v>
                </c:pt>
                <c:pt idx="6">
                  <c:v>JUN</c:v>
                </c:pt>
                <c:pt idx="7">
                  <c:v>JUL</c:v>
                </c:pt>
                <c:pt idx="8">
                  <c:v>AUG</c:v>
                </c:pt>
                <c:pt idx="9">
                  <c:v>SEP</c:v>
                </c:pt>
                <c:pt idx="10">
                  <c:v>OCT</c:v>
                </c:pt>
                <c:pt idx="11">
                  <c:v>JUN</c:v>
                </c:pt>
                <c:pt idx="12">
                  <c:v>NOV</c:v>
                </c:pt>
                <c:pt idx="13">
                  <c:v>DEC</c:v>
                </c:pt>
                <c:pt idx="14">
                  <c:v>FEB</c:v>
                </c:pt>
                <c:pt idx="15">
                  <c:v>APR</c:v>
                </c:pt>
                <c:pt idx="16">
                  <c:v>AUG</c:v>
                </c:pt>
                <c:pt idx="17">
                  <c:v>AUG</c:v>
                </c:pt>
                <c:pt idx="18">
                  <c:v>JAN</c:v>
                </c:pt>
                <c:pt idx="19">
                  <c:v>MAR</c:v>
                </c:pt>
                <c:pt idx="20">
                  <c:v>AUG</c:v>
                </c:pt>
                <c:pt idx="21">
                  <c:v>MAY</c:v>
                </c:pt>
                <c:pt idx="22">
                  <c:v>JAN</c:v>
                </c:pt>
                <c:pt idx="23">
                  <c:v>JUL</c:v>
                </c:pt>
                <c:pt idx="24">
                  <c:v>AUG</c:v>
                </c:pt>
                <c:pt idx="25">
                  <c:v>SEP</c:v>
                </c:pt>
                <c:pt idx="26">
                  <c:v>JUN</c:v>
                </c:pt>
                <c:pt idx="27">
                  <c:v>JUL</c:v>
                </c:pt>
                <c:pt idx="28">
                  <c:v>APR</c:v>
                </c:pt>
                <c:pt idx="29">
                  <c:v>MAR</c:v>
                </c:pt>
                <c:pt idx="30">
                  <c:v>APR</c:v>
                </c:pt>
                <c:pt idx="31">
                  <c:v>MAY</c:v>
                </c:pt>
                <c:pt idx="32">
                  <c:v>DEC</c:v>
                </c:pt>
                <c:pt idx="33">
                  <c:v>JUN</c:v>
                </c:pt>
              </c:strCache>
            </c:strRef>
          </c:cat>
          <c:val>
            <c:numRef>
              <c:f>'LEFT,RIGHT,MID'!$I$35</c:f>
              <c:numCache>
                <c:formatCode>General</c:formatCode>
                <c:ptCount val="1"/>
                <c:pt idx="0">
                  <c:v>0</c:v>
                </c:pt>
              </c:numCache>
            </c:numRef>
          </c:val>
          <c:extLst>
            <c:ext xmlns:c16="http://schemas.microsoft.com/office/drawing/2014/chart" uri="{C3380CC4-5D6E-409C-BE32-E72D297353CC}">
              <c16:uniqueId val="{00000000-43E2-496F-9EC1-38E3F5AFF140}"/>
            </c:ext>
          </c:extLst>
        </c:ser>
        <c:dLbls>
          <c:showLegendKey val="0"/>
          <c:showVal val="0"/>
          <c:showCatName val="0"/>
          <c:showSerName val="0"/>
          <c:showPercent val="0"/>
          <c:showBubbleSize val="0"/>
        </c:dLbls>
        <c:gapWidth val="150"/>
        <c:shape val="box"/>
        <c:axId val="1306551791"/>
        <c:axId val="1357694127"/>
        <c:axId val="0"/>
      </c:bar3DChart>
      <c:catAx>
        <c:axId val="130655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694127"/>
        <c:crosses val="autoZero"/>
        <c:auto val="1"/>
        <c:lblAlgn val="ctr"/>
        <c:lblOffset val="100"/>
        <c:noMultiLvlLbl val="0"/>
      </c:catAx>
      <c:valAx>
        <c:axId val="135769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data id="3">
      <cx:strDim type="cat">
        <cx:f>_xlchart.v1.0</cx:f>
      </cx:strDim>
      <cx:numDim type="val">
        <cx:f>_xlchart.v1.8</cx:f>
      </cx:numDim>
    </cx:data>
    <cx:data id="4">
      <cx:strDim type="cat">
        <cx:f>_xlchart.v1.0</cx:f>
      </cx:strDim>
      <cx:numDim type="val">
        <cx:f>_xlchart.v1.10</cx:f>
      </cx:numDim>
    </cx:data>
    <cx:data id="5">
      <cx:strDim type="cat">
        <cx:f>_xlchart.v1.0</cx:f>
      </cx:strDim>
      <cx:numDim type="val">
        <cx:f>_xlchart.v1.12</cx:f>
      </cx:numDim>
    </cx:data>
  </cx:chartData>
  <cx:chart>
    <cx:title pos="t" align="ctr" overlay="0"/>
    <cx:plotArea>
      <cx:plotAreaRegion>
        <cx:series layoutId="clusteredColumn" uniqueId="{F9116942-397B-4847-AA14-E60029995CFD}" formatIdx="0">
          <cx:tx>
            <cx:txData>
              <cx:f>_xlchart.v1.1</cx:f>
              <cx:v>Price ($)</cx:v>
            </cx:txData>
          </cx:tx>
          <cx:dataId val="0"/>
          <cx:layoutPr>
            <cx:aggregation/>
          </cx:layoutPr>
          <cx:axisId val="1"/>
        </cx:series>
        <cx:series layoutId="clusteredColumn" hidden="1" uniqueId="{ADF389AA-424D-46B4-96E4-F0316478D56F}" formatIdx="2">
          <cx:tx>
            <cx:txData>
              <cx:f>_xlchart.v1.3</cx:f>
              <cx:v>Quantity</cx:v>
            </cx:txData>
          </cx:tx>
          <cx:dataId val="1"/>
          <cx:layoutPr>
            <cx:aggregation/>
          </cx:layoutPr>
          <cx:axisId val="1"/>
        </cx:series>
        <cx:series layoutId="clusteredColumn" hidden="1" uniqueId="{8232E4ED-BCC9-4745-9C09-D8E2D8FBAC1E}" formatIdx="4">
          <cx:tx>
            <cx:txData>
              <cx:f>_xlchart.v1.5</cx:f>
              <cx:v>Category</cx:v>
            </cx:txData>
          </cx:tx>
          <cx:dataId val="2"/>
          <cx:layoutPr>
            <cx:aggregation/>
          </cx:layoutPr>
          <cx:axisId val="1"/>
        </cx:series>
        <cx:series layoutId="clusteredColumn" hidden="1" uniqueId="{860659BF-8214-428F-BBD1-1DB50EE2B1C3}" formatIdx="6">
          <cx:tx>
            <cx:txData>
              <cx:f>_xlchart.v1.7</cx:f>
              <cx:v>day</cx:v>
            </cx:txData>
          </cx:tx>
          <cx:dataId val="3"/>
          <cx:layoutPr>
            <cx:aggregation/>
          </cx:layoutPr>
          <cx:axisId val="1"/>
        </cx:series>
        <cx:series layoutId="clusteredColumn" hidden="1" uniqueId="{0E09C1ED-42D0-4273-9873-C52A5411E76A}" formatIdx="8">
          <cx:tx>
            <cx:txData>
              <cx:f>_xlchart.v1.9</cx:f>
              <cx:v>country code</cx:v>
            </cx:txData>
          </cx:tx>
          <cx:dataId val="4"/>
          <cx:layoutPr>
            <cx:aggregation/>
          </cx:layoutPr>
          <cx:axisId val="1"/>
        </cx:series>
        <cx:series layoutId="clusteredColumn" hidden="1" uniqueId="{236EFE7C-A7E5-4A04-B6D2-DD95A1B13549}" formatIdx="10">
          <cx:tx>
            <cx:txData>
              <cx:f>_xlchart.v1.11</cx:f>
              <cx:v>month</cx:v>
            </cx:txData>
          </cx:tx>
          <cx:dataId val="5"/>
          <cx:layoutPr>
            <cx:aggregation/>
          </cx:layoutPr>
          <cx:axisId val="1"/>
        </cx:series>
        <cx:series layoutId="paretoLine" ownerIdx="0" uniqueId="{B6ECADAD-0DD7-4DE0-8290-35C6CD72336F}" formatIdx="1">
          <cx:axisId val="2"/>
        </cx:series>
        <cx:series layoutId="paretoLine" ownerIdx="1" uniqueId="{EFA5E3E1-11C0-4443-BC83-ECC0BD054261}" formatIdx="3">
          <cx:axisId val="2"/>
        </cx:series>
        <cx:series layoutId="paretoLine" ownerIdx="2" uniqueId="{7745FEFA-D532-493B-AD49-186A44089BDB}" formatIdx="5">
          <cx:axisId val="2"/>
        </cx:series>
        <cx:series layoutId="paretoLine" ownerIdx="3" uniqueId="{FBE964C2-5621-4401-B20D-1E0C97AB9B92}" formatIdx="7">
          <cx:axisId val="2"/>
        </cx:series>
        <cx:series layoutId="paretoLine" ownerIdx="4" uniqueId="{2FBF7952-B050-43F6-8FAB-CDCAA449D1CE}" formatIdx="9">
          <cx:axisId val="2"/>
        </cx:series>
        <cx:series layoutId="paretoLine" ownerIdx="5" uniqueId="{A3250C9A-41A1-4DC4-BD7C-05FD78D5C149}" formatIdx="11">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129540</xdr:rowOff>
    </xdr:from>
    <xdr:to>
      <xdr:col>24</xdr:col>
      <xdr:colOff>381000</xdr:colOff>
      <xdr:row>12</xdr:row>
      <xdr:rowOff>38100</xdr:rowOff>
    </xdr:to>
    <xdr:sp macro="" textlink="">
      <xdr:nvSpPr>
        <xdr:cNvPr id="2" name="Rectangle: Rounded Corners 1">
          <a:extLst>
            <a:ext uri="{FF2B5EF4-FFF2-40B4-BE49-F238E27FC236}">
              <a16:creationId xmlns:a16="http://schemas.microsoft.com/office/drawing/2014/main" id="{6FCB3208-F179-41DE-A893-D81A83F4EB57}"/>
            </a:ext>
          </a:extLst>
        </xdr:cNvPr>
        <xdr:cNvSpPr/>
      </xdr:nvSpPr>
      <xdr:spPr>
        <a:xfrm>
          <a:off x="0" y="129540"/>
          <a:ext cx="15011400" cy="1790700"/>
        </a:xfrm>
        <a:prstGeom prst="roundRect">
          <a:avLst/>
        </a:prstGeom>
        <a:solidFill>
          <a:srgbClr val="D3D3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3</xdr:row>
      <xdr:rowOff>22860</xdr:rowOff>
    </xdr:from>
    <xdr:to>
      <xdr:col>18</xdr:col>
      <xdr:colOff>220980</xdr:colOff>
      <xdr:row>9</xdr:row>
      <xdr:rowOff>0</xdr:rowOff>
    </xdr:to>
    <xdr:sp macro="" textlink="">
      <xdr:nvSpPr>
        <xdr:cNvPr id="3" name="Rectangle 2">
          <a:extLst>
            <a:ext uri="{FF2B5EF4-FFF2-40B4-BE49-F238E27FC236}">
              <a16:creationId xmlns:a16="http://schemas.microsoft.com/office/drawing/2014/main" id="{CB2CB2EC-2B29-4E9A-A19E-C60F1F01EC27}"/>
            </a:ext>
          </a:extLst>
        </xdr:cNvPr>
        <xdr:cNvSpPr/>
      </xdr:nvSpPr>
      <xdr:spPr>
        <a:xfrm>
          <a:off x="3299460" y="525780"/>
          <a:ext cx="7894320" cy="9829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a:t>
          </a:r>
        </a:p>
      </xdr:txBody>
    </xdr:sp>
    <xdr:clientData/>
  </xdr:twoCellAnchor>
  <xdr:oneCellAnchor>
    <xdr:from>
      <xdr:col>8</xdr:col>
      <xdr:colOff>251460</xdr:colOff>
      <xdr:row>5</xdr:row>
      <xdr:rowOff>8964</xdr:rowOff>
    </xdr:from>
    <xdr:ext cx="7482840" cy="552227"/>
    <xdr:sp macro="" textlink="">
      <xdr:nvSpPr>
        <xdr:cNvPr id="4" name="TextBox 3">
          <a:extLst>
            <a:ext uri="{FF2B5EF4-FFF2-40B4-BE49-F238E27FC236}">
              <a16:creationId xmlns:a16="http://schemas.microsoft.com/office/drawing/2014/main" id="{959D24CD-5492-41EF-A04A-32625B633844}"/>
            </a:ext>
          </a:extLst>
        </xdr:cNvPr>
        <xdr:cNvSpPr txBox="1"/>
      </xdr:nvSpPr>
      <xdr:spPr>
        <a:xfrm>
          <a:off x="5128260" y="860611"/>
          <a:ext cx="7482840" cy="55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latin typeface="Bahnschrift SemiLight Condensed" panose="020B0502040204020203" pitchFamily="34" charset="0"/>
            </a:rPr>
            <a:t>PRODUCT &amp;</a:t>
          </a:r>
          <a:r>
            <a:rPr lang="en-IN" sz="2800" b="1" baseline="0">
              <a:latin typeface="Bahnschrift SemiLight Condensed" panose="020B0502040204020203" pitchFamily="34" charset="0"/>
            </a:rPr>
            <a:t> INVENTORY ANALYTICS</a:t>
          </a:r>
          <a:endParaRPr lang="en-IN" sz="2800" b="1">
            <a:latin typeface="Bahnschrift SemiLight Condensed" panose="020B0502040204020203" pitchFamily="34" charset="0"/>
          </a:endParaRPr>
        </a:p>
      </xdr:txBody>
    </xdr:sp>
    <xdr:clientData/>
  </xdr:oneCellAnchor>
  <xdr:twoCellAnchor editAs="oneCell">
    <xdr:from>
      <xdr:col>0</xdr:col>
      <xdr:colOff>91440</xdr:colOff>
      <xdr:row>12</xdr:row>
      <xdr:rowOff>144780</xdr:rowOff>
    </xdr:from>
    <xdr:to>
      <xdr:col>3</xdr:col>
      <xdr:colOff>182880</xdr:colOff>
      <xdr:row>27</xdr:row>
      <xdr:rowOff>53340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18455673-DC61-4D8B-9E21-577209A529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440" y="2054262"/>
              <a:ext cx="1920240" cy="2463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28</xdr:row>
      <xdr:rowOff>76200</xdr:rowOff>
    </xdr:from>
    <xdr:to>
      <xdr:col>3</xdr:col>
      <xdr:colOff>274320</xdr:colOff>
      <xdr:row>47</xdr:row>
      <xdr:rowOff>53340</xdr:rowOff>
    </xdr:to>
    <mc:AlternateContent xmlns:mc="http://schemas.openxmlformats.org/markup-compatibility/2006">
      <mc:Choice xmlns:a14="http://schemas.microsoft.com/office/drawing/2010/main" Requires="a14">
        <xdr:graphicFrame macro="">
          <xdr:nvGraphicFramePr>
            <xdr:cNvPr id="13" name="Product Name">
              <a:extLst>
                <a:ext uri="{FF2B5EF4-FFF2-40B4-BE49-F238E27FC236}">
                  <a16:creationId xmlns:a16="http://schemas.microsoft.com/office/drawing/2014/main" id="{17EC5DC3-9982-490F-A01C-F6E4AE57A95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14300" y="4710953"/>
              <a:ext cx="1988820" cy="321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502920</xdr:colOff>
      <xdr:row>13</xdr:row>
      <xdr:rowOff>76200</xdr:rowOff>
    </xdr:from>
    <xdr:to>
      <xdr:col>17</xdr:col>
      <xdr:colOff>304800</xdr:colOff>
      <xdr:row>28</xdr:row>
      <xdr:rowOff>45720</xdr:rowOff>
    </xdr:to>
    <xdr:graphicFrame macro="">
      <xdr:nvGraphicFramePr>
        <xdr:cNvPr id="15" name="Chart 14">
          <a:extLst>
            <a:ext uri="{FF2B5EF4-FFF2-40B4-BE49-F238E27FC236}">
              <a16:creationId xmlns:a16="http://schemas.microsoft.com/office/drawing/2014/main" id="{C5AD90B2-4DB0-47F3-B7E7-1C214E69A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247874</xdr:colOff>
      <xdr:row>29</xdr:row>
      <xdr:rowOff>49306</xdr:rowOff>
    </xdr:from>
    <xdr:to>
      <xdr:col>24</xdr:col>
      <xdr:colOff>403412</xdr:colOff>
      <xdr:row>47</xdr:row>
      <xdr:rowOff>26446</xdr:rowOff>
    </xdr:to>
    <xdr:graphicFrame macro="">
      <xdr:nvGraphicFramePr>
        <xdr:cNvPr id="20" name="Chart 19">
          <a:extLst>
            <a:ext uri="{FF2B5EF4-FFF2-40B4-BE49-F238E27FC236}">
              <a16:creationId xmlns:a16="http://schemas.microsoft.com/office/drawing/2014/main" id="{4420FEE6-409A-4D4C-865D-BD25F344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403859</xdr:colOff>
      <xdr:row>29</xdr:row>
      <xdr:rowOff>15240</xdr:rowOff>
    </xdr:from>
    <xdr:to>
      <xdr:col>13</xdr:col>
      <xdr:colOff>546846</xdr:colOff>
      <xdr:row>47</xdr:row>
      <xdr:rowOff>15240</xdr:rowOff>
    </xdr:to>
    <xdr:graphicFrame macro="">
      <xdr:nvGraphicFramePr>
        <xdr:cNvPr id="22" name="Chart 21">
          <a:extLst>
            <a:ext uri="{FF2B5EF4-FFF2-40B4-BE49-F238E27FC236}">
              <a16:creationId xmlns:a16="http://schemas.microsoft.com/office/drawing/2014/main" id="{96643C58-47D0-45CA-AD94-9FF016EF8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198120</xdr:colOff>
      <xdr:row>13</xdr:row>
      <xdr:rowOff>106680</xdr:rowOff>
    </xdr:from>
    <xdr:to>
      <xdr:col>10</xdr:col>
      <xdr:colOff>434340</xdr:colOff>
      <xdr:row>27</xdr:row>
      <xdr:rowOff>137160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09B9B627-EE31-41CD-9EBC-39862EC0D9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26920" y="2156460"/>
              <a:ext cx="450342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403860</xdr:colOff>
      <xdr:row>13</xdr:row>
      <xdr:rowOff>60960</xdr:rowOff>
    </xdr:from>
    <xdr:to>
      <xdr:col>23</xdr:col>
      <xdr:colOff>563880</xdr:colOff>
      <xdr:row>28</xdr:row>
      <xdr:rowOff>152400</xdr:rowOff>
    </xdr:to>
    <xdr:graphicFrame macro="">
      <xdr:nvGraphicFramePr>
        <xdr:cNvPr id="27" name="Chart 26">
          <a:extLst>
            <a:ext uri="{FF2B5EF4-FFF2-40B4-BE49-F238E27FC236}">
              <a16:creationId xmlns:a16="http://schemas.microsoft.com/office/drawing/2014/main" id="{9E62ECDB-0E5B-432A-A8B8-93E70B29A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5.631438194447" createdVersion="6" refreshedVersion="6" minRefreshableVersion="3" recordCount="34" xr:uid="{F42B2D18-2EC9-4C1F-A2DF-297516DD524D}">
  <cacheSource type="worksheet">
    <worksheetSource ref="A1:I35" sheet="LEFT,RIGHT,MID"/>
  </cacheSource>
  <cacheFields count="9">
    <cacheField name="Product ID" numFmtId="0">
      <sharedItems count="31">
        <s v="28-JAN-US"/>
        <s v="15-FEB-US"/>
        <s v="03-MAR-US"/>
        <s v="11-APR-US"/>
        <s v="22-MAY-US"/>
        <s v="07-JUN-UK"/>
        <s v="19-JUL-UK"/>
        <s v="23-AUG-UK"/>
        <s v="05-SEP-UK"/>
        <s v="14-OCT-UK"/>
        <s v="17-JUN-IN"/>
        <s v="25-NOV-AU"/>
        <s v="08-DEC-DE"/>
        <s v="18-FEB-CA"/>
        <s v="16-APR-ES"/>
        <s v="21-AUG-CA"/>
        <s v="20-AUG-CN"/>
        <s v="27-JAN-IT"/>
        <s v="01-MAR-UK"/>
        <s v="14-AUG-US"/>
        <s v="14-MAY-RU"/>
        <s v="09-JAN-CA"/>
        <s v="19-JUL-BR"/>
        <s v="29-SEP-CA"/>
        <s v="03-JUN-CA"/>
        <s v="11-JUL-CA"/>
        <s v="07-MAR-CA"/>
        <s v="13-APR-CA"/>
        <s v="24-MAY-CA"/>
        <s v="02-DEC-CA"/>
        <s v="09-JUL-FR"/>
      </sharedItems>
    </cacheField>
    <cacheField name="Product Name" numFmtId="0">
      <sharedItems count="21">
        <s v="Laptop"/>
        <s v="Sneakers"/>
        <s v="Coffee Maker"/>
        <s v="Smartphone"/>
        <s v="Backpack"/>
        <s v="Headphones"/>
        <s v="T-shirt"/>
        <s v="Blender"/>
        <s v="Tablet"/>
        <s v="Hiking Boots"/>
        <s v="Smartwatch"/>
        <s v="Laptop Bag"/>
        <s v="Sunglasses"/>
        <s v="Camping Tent"/>
        <s v="Camera"/>
        <s v="Microwave"/>
        <s v="Fitness Tracker"/>
        <s v="Dress"/>
        <s v="Toaster"/>
        <s v="Jeans"/>
        <s v="Watch"/>
      </sharedItems>
    </cacheField>
    <cacheField name="Product Name2" numFmtId="0">
      <sharedItems count="30">
        <s v="Dell"/>
        <s v="Nike"/>
        <s v="Keurig"/>
        <s v="Samsung"/>
        <s v="North Face"/>
        <s v="Sony"/>
        <s v="Adidas"/>
        <s v="Ninja"/>
        <s v="Apple"/>
        <s v="Timberland"/>
        <s v="HP"/>
        <s v="Nespresso"/>
        <s v="Fitbit"/>
        <s v="Bose"/>
        <s v="Samsonite"/>
        <s v="Huawei"/>
        <s v="Asus"/>
        <s v="Oakley"/>
        <s v="Coleman"/>
        <s v="Nikon"/>
        <s v="Panasonic"/>
        <s v="Xiaomi"/>
        <s v="Google"/>
        <s v="Ray-Ban"/>
        <s v="Vitamix"/>
        <s v="Zara"/>
        <s v="Hamilton"/>
        <s v="Garmin"/>
        <s v="Levi's"/>
        <s v="Casio"/>
      </sharedItems>
    </cacheField>
    <cacheField name="Price ($)" numFmtId="0">
      <sharedItems containsSemiMixedTypes="0" containsString="0" containsNumber="1" containsInteger="1" minValue="30" maxValue="1000"/>
    </cacheField>
    <cacheField name="Quantity" numFmtId="0">
      <sharedItems containsSemiMixedTypes="0" containsString="0" containsNumber="1" containsInteger="1" minValue="5" maxValue="50"/>
    </cacheField>
    <cacheField name="Category" numFmtId="0">
      <sharedItems count="5">
        <s v="Electronics"/>
        <s v="Fashion"/>
        <s v="Kitchen"/>
        <s v="Outdoor"/>
        <s v="Accessories"/>
      </sharedItems>
    </cacheField>
    <cacheField name="day" numFmtId="0">
      <sharedItems/>
    </cacheField>
    <cacheField name="country code"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641087963" backgroundQuery="1" createdVersion="6" refreshedVersion="6" minRefreshableVersion="3" recordCount="0" supportSubquery="1" supportAdvancedDrill="1" xr:uid="{D05194E7-A40A-4724-953A-D7FE96D467BA}">
  <cacheSource type="external" connectionId="1"/>
  <cacheFields count="4">
    <cacheField name="[Measures].[Count of Product Name]" caption="Count of Product Name" numFmtId="0" hierarchy="11" level="32767"/>
    <cacheField name="[Measures].[Sum of Quantity]" caption="Sum of Quantity" numFmtId="0" hierarchy="12" level="32767"/>
    <cacheField name="[Measures].[Sum of Price ($)]" caption="Sum of Price ($)" numFmtId="0" hierarchy="13" level="32767"/>
    <cacheField name="[Range].[Category].[Category]" caption="Category" numFmtId="0" hierarchy="5" level="1">
      <sharedItems count="5">
        <s v="Accessories"/>
        <s v="Electronics"/>
        <s v="Fashion"/>
        <s v="Kitchen"/>
        <s v="Outdoor"/>
      </sharedItems>
    </cacheField>
  </cacheFields>
  <cacheHierarchies count="14">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Name 2]" caption="Product Name 2" attribute="1" defaultMemberUniqueName="[Range].[Product Name 2].[All]" allUniqueName="[Range].[Product Name 2].[All]" dimensionUniqueName="[Range]" displayFolder="" count="0" memberValueDatatype="130" unbalanced="0"/>
    <cacheHierarchy uniqueName="[Range].[Price ($)]" caption="Price ($)" attribute="1" defaultMemberUniqueName="[Range].[Price ($)].[All]" allUniqueName="[Range].[Price ($)].[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day]" caption="day" attribute="1" defaultMemberUniqueName="[Range].[day].[All]" allUniqueName="[Range].[day].[All]" dimensionUniqueName="[Range]" displayFolder="" count="0" memberValueDatatype="130" unbalanced="0"/>
    <cacheHierarchy uniqueName="[Range].[country code]" caption="country code" attribute="1" defaultMemberUniqueName="[Range].[country code].[All]" allUniqueName="[Range].[country cod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ice ($)]" caption="Sum of Price ($)"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66635648151" backgroundQuery="1" createdVersion="6" refreshedVersion="6" minRefreshableVersion="3" recordCount="0" supportSubquery="1" supportAdvancedDrill="1" xr:uid="{79249A81-B0D5-42EC-95A0-DEC841FB53E5}">
  <cacheSource type="external" connectionId="1"/>
  <cacheFields count="4">
    <cacheField name="[Range].[Product Name 2].[Product Name 2]" caption="Product Name 2" numFmtId="0" hierarchy="2" level="1">
      <sharedItems count="30">
        <s v="Adidas"/>
        <s v="Apple"/>
        <s v="Asus"/>
        <s v="Bose"/>
        <s v="Casio"/>
        <s v="Coleman"/>
        <s v="Dell"/>
        <s v="Fitbit"/>
        <s v="Garmin"/>
        <s v="Google"/>
        <s v="Hamilton"/>
        <s v="HP"/>
        <s v="Huawei"/>
        <s v="Keurig"/>
        <s v="Levi's"/>
        <s v="Nespresso"/>
        <s v="Nike"/>
        <s v="Nikon"/>
        <s v="Ninja"/>
        <s v="North Face"/>
        <s v="Oakley"/>
        <s v="Panasonic"/>
        <s v="Ray-Ban"/>
        <s v="Samsonite"/>
        <s v="Samsung"/>
        <s v="Sony"/>
        <s v="Timberland"/>
        <s v="Vitamix"/>
        <s v="Xiaomi"/>
        <s v="Zara"/>
      </sharedItems>
    </cacheField>
    <cacheField name="[Measures].[Sum of Quantity]" caption="Sum of Quantity" numFmtId="0" hierarchy="12" level="32767"/>
    <cacheField name="[Measures].[Count of Product Name]" caption="Count of Product Name" numFmtId="0" hierarchy="11" level="32767"/>
    <cacheField name="[Range].[Category].[Category]" caption="Category" numFmtId="0" hierarchy="5" level="1">
      <sharedItems containsSemiMixedTypes="0" containsNonDate="0" containsString="0"/>
    </cacheField>
  </cacheFields>
  <cacheHierarchies count="14">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Name 2]" caption="Product Name 2" attribute="1" defaultMemberUniqueName="[Range].[Product Name 2].[All]" allUniqueName="[Range].[Product Name 2].[All]" dimensionUniqueName="[Range]" displayFolder="" count="2" memberValueDatatype="130" unbalanced="0">
      <fieldsUsage count="2">
        <fieldUsage x="-1"/>
        <fieldUsage x="0"/>
      </fieldsUsage>
    </cacheHierarchy>
    <cacheHierarchy uniqueName="[Range].[Price ($)]" caption="Price ($)" attribute="1" defaultMemberUniqueName="[Range].[Price ($)].[All]" allUniqueName="[Range].[Price ($)].[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day]" caption="day" attribute="1" defaultMemberUniqueName="[Range].[day].[All]" allUniqueName="[Range].[day].[All]" dimensionUniqueName="[Range]" displayFolder="" count="0" memberValueDatatype="130" unbalanced="0"/>
    <cacheHierarchy uniqueName="[Range].[country code]" caption="country code" attribute="1" defaultMemberUniqueName="[Range].[country code].[All]" allUniqueName="[Range].[country cod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ice ($)]" caption="Sum of Price ($)"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68921759258" backgroundQuery="1" createdVersion="6" refreshedVersion="6" minRefreshableVersion="3" recordCount="0" supportSubquery="1" supportAdvancedDrill="1" xr:uid="{9078BC95-D908-4DF6-9D2F-11CB0F8569AB}">
  <cacheSource type="external" connectionId="1"/>
  <cacheFields count="2">
    <cacheField name="[Range].[Category].[Category]" caption="Category" numFmtId="0" hierarchy="5" level="1">
      <sharedItems count="5">
        <s v="Accessories"/>
        <s v="Electronics"/>
        <s v="Fashion"/>
        <s v="Kitchen"/>
        <s v="Outdoor"/>
      </sharedItems>
    </cacheField>
    <cacheField name="[Measures].[Sum of Quantity]" caption="Sum of Quantity" numFmtId="0" hierarchy="12" level="32767"/>
  </cacheFields>
  <cacheHierarchies count="14">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Name 2]" caption="Product Name 2" attribute="1" defaultMemberUniqueName="[Range].[Product Name 2].[All]" allUniqueName="[Range].[Product Name 2].[All]" dimensionUniqueName="[Range]" displayFolder="" count="0" memberValueDatatype="130" unbalanced="0"/>
    <cacheHierarchy uniqueName="[Range].[Price ($)]" caption="Price ($)" attribute="1" defaultMemberUniqueName="[Range].[Price ($)].[All]" allUniqueName="[Range].[Price ($)].[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day]" caption="day" attribute="1" defaultMemberUniqueName="[Range].[day].[All]" allUniqueName="[Range].[day].[All]" dimensionUniqueName="[Range]" displayFolder="" count="0" memberValueDatatype="130" unbalanced="0"/>
    <cacheHierarchy uniqueName="[Range].[country code]" caption="country code" attribute="1" defaultMemberUniqueName="[Range].[country code].[All]" allUniqueName="[Range].[country cod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ice ($)]" caption="Sum of Price ($)"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70957870374" backgroundQuery="1" createdVersion="6" refreshedVersion="6" minRefreshableVersion="3" recordCount="0" supportSubquery="1" supportAdvancedDrill="1" xr:uid="{6C742FD7-880E-44BF-AFB8-F283873E0AF6}">
  <cacheSource type="external" connectionId="1"/>
  <cacheFields count="4">
    <cacheField name="[Range].[Product Name].[Product Name]" caption="Product Name" numFmtId="0" hierarchy="1" level="1">
      <sharedItems count="10">
        <s v="Blender"/>
        <s v="Camera"/>
        <s v="Coffee Maker"/>
        <s v="Fitness Tracker"/>
        <s v="Headphones"/>
        <s v="Laptop"/>
        <s v="Smartphone"/>
        <s v="Smartwatch"/>
        <s v="Sunglasses"/>
        <s v="Tablet"/>
      </sharedItems>
    </cacheField>
    <cacheField name="[Measures].[Sum of Price ($)]" caption="Sum of Price ($)" numFmtId="0" hierarchy="13" level="32767"/>
    <cacheField name="[Range].[Category].[Category]" caption="Category" numFmtId="0" hierarchy="5" level="1">
      <sharedItems containsSemiMixedTypes="0" containsNonDate="0" containsString="0"/>
    </cacheField>
    <cacheField name="[Range].[Product Name 2].[Product Name 2]" caption="Product Name 2" numFmtId="0" hierarchy="2" level="1">
      <sharedItems containsSemiMixedTypes="0" containsNonDate="0" containsString="0"/>
    </cacheField>
  </cacheFields>
  <cacheHierarchies count="14">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Product Name 2]" caption="Product Name 2" attribute="1" defaultMemberUniqueName="[Range].[Product Name 2].[All]" allUniqueName="[Range].[Product Name 2].[All]" dimensionUniqueName="[Range]" displayFolder="" count="2" memberValueDatatype="130" unbalanced="0">
      <fieldsUsage count="2">
        <fieldUsage x="-1"/>
        <fieldUsage x="3"/>
      </fieldsUsage>
    </cacheHierarchy>
    <cacheHierarchy uniqueName="[Range].[Price ($)]" caption="Price ($)" attribute="1" defaultMemberUniqueName="[Range].[Price ($)].[All]" allUniqueName="[Range].[Price ($)].[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day]" caption="day" attribute="1" defaultMemberUniqueName="[Range].[day].[All]" allUniqueName="[Range].[day].[All]" dimensionUniqueName="[Range]" displayFolder="" count="0" memberValueDatatype="130" unbalanced="0"/>
    <cacheHierarchy uniqueName="[Range].[country code]" caption="country code" attribute="1" defaultMemberUniqueName="[Range].[country code].[All]" allUniqueName="[Range].[country cod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Price ($)]" caption="Sum of Price ($)"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73577314818" backgroundQuery="1" createdVersion="6" refreshedVersion="6" minRefreshableVersion="3" recordCount="0" supportSubquery="1" supportAdvancedDrill="1" xr:uid="{AF064433-84F1-422F-B8EE-014B0E244586}">
  <cacheSource type="external" connectionId="1"/>
  <cacheFields count="0"/>
  <cacheHierarchies count="14">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Name 2]" caption="Product Name 2" attribute="1" defaultMemberUniqueName="[Range].[Product Name 2].[All]" allUniqueName="[Range].[Product Name 2].[All]" dimensionUniqueName="[Range]" displayFolder="" count="2" memberValueDatatype="130" unbalanced="0"/>
    <cacheHierarchy uniqueName="[Range].[Price ($)]" caption="Price ($)" attribute="1" defaultMemberUniqueName="[Range].[Price ($)].[All]" allUniqueName="[Range].[Price ($)].[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Category]" caption="Category" attribute="1" defaultMemberUniqueName="[Range].[Category].[All]" allUniqueName="[Range].[Category].[All]" dimensionUniqueName="[Range]" displayFolder="" count="2" memberValueDatatype="130" unbalanced="0"/>
    <cacheHierarchy uniqueName="[Range].[day]" caption="day" attribute="1" defaultMemberUniqueName="[Range].[day].[All]" allUniqueName="[Range].[day].[All]" dimensionUniqueName="[Range]" displayFolder="" count="0" memberValueDatatype="130" unbalanced="0"/>
    <cacheHierarchy uniqueName="[Range].[country code]" caption="country code" attribute="1" defaultMemberUniqueName="[Range].[country code].[All]" allUniqueName="[Range].[country cod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Price ($)]" caption="Sum of Price ($)"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685601041667" backgroundQuery="1" createdVersion="3" refreshedVersion="6" minRefreshableVersion="3" recordCount="0" supportSubquery="1" supportAdvancedDrill="1" xr:uid="{C35436E3-AFA6-40AF-95F5-E52B15E5D52D}">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Measures]" caption="Measures" attribute="1" keyAttribute="1" defaultMemberUniqueName="[Measures].[__No measures defined]" dimensionUniqueName="[Measures]" displayFolder="" measures="1" count="1"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Name 2]" caption="Product Name 2" attribute="1" defaultMemberUniqueName="[Range].[Product Name 2].[All]" allUniqueName="[Range].[Product Name 2].[All]" dimensionUniqueName="[Range]" displayFolder="" count="2" memberValueDatatype="130" unbalanced="0"/>
    <cacheHierarchy uniqueName="[Range].[Price ($)]" caption="Price ($)" attribute="1" defaultMemberUniqueName="[Range].[Price ($)].[All]" allUniqueName="[Range].[Price ($)].[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Category]" caption="Category" attribute="1" defaultMemberUniqueName="[Range].[Category].[All]" allUniqueName="[Range].[Category].[All]" dimensionUniqueName="[Range]" displayFolder="" count="2" memberValueDatatype="130" unbalanced="0"/>
    <cacheHierarchy uniqueName="[Range].[day]" caption="day" attribute="1" defaultMemberUniqueName="[Range].[day].[All]" allUniqueName="[Range].[day].[All]" dimensionUniqueName="[Range]" displayFolder="" count="2" memberValueDatatype="130" unbalanced="0"/>
    <cacheHierarchy uniqueName="[Range].[country code]" caption="country code" attribute="1" defaultMemberUniqueName="[Range].[country code].[All]" allUniqueName="[Range].[country cod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Name]" caption="Count of Product Name"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Price ($)]" caption="Sum of Price ($)"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33096866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n v="1000"/>
    <n v="30"/>
    <x v="0"/>
    <s v="28"/>
    <s v="US"/>
    <s v="JAN"/>
  </r>
  <r>
    <x v="1"/>
    <x v="1"/>
    <x v="1"/>
    <n v="80"/>
    <n v="15"/>
    <x v="1"/>
    <s v="15"/>
    <s v="US"/>
    <s v="FEB"/>
  </r>
  <r>
    <x v="2"/>
    <x v="2"/>
    <x v="2"/>
    <n v="130"/>
    <n v="40"/>
    <x v="2"/>
    <s v="03"/>
    <s v="US"/>
    <s v="MAR"/>
  </r>
  <r>
    <x v="3"/>
    <x v="3"/>
    <x v="3"/>
    <n v="900"/>
    <n v="25"/>
    <x v="0"/>
    <s v="11"/>
    <s v="US"/>
    <s v="APR"/>
  </r>
  <r>
    <x v="4"/>
    <x v="4"/>
    <x v="4"/>
    <n v="70"/>
    <n v="20"/>
    <x v="3"/>
    <s v="22"/>
    <s v="US"/>
    <s v="MAY"/>
  </r>
  <r>
    <x v="5"/>
    <x v="5"/>
    <x v="5"/>
    <n v="200"/>
    <n v="45"/>
    <x v="0"/>
    <s v="07"/>
    <s v="UK"/>
    <s v="JUN"/>
  </r>
  <r>
    <x v="6"/>
    <x v="6"/>
    <x v="6"/>
    <n v="30"/>
    <n v="5"/>
    <x v="1"/>
    <s v="19"/>
    <s v="UK"/>
    <s v="JUL"/>
  </r>
  <r>
    <x v="7"/>
    <x v="7"/>
    <x v="7"/>
    <n v="90"/>
    <n v="35"/>
    <x v="2"/>
    <s v="23"/>
    <s v="UK"/>
    <s v="AUG"/>
  </r>
  <r>
    <x v="8"/>
    <x v="8"/>
    <x v="8"/>
    <n v="500"/>
    <n v="50"/>
    <x v="0"/>
    <s v="05"/>
    <s v="UK"/>
    <s v="SEP"/>
  </r>
  <r>
    <x v="9"/>
    <x v="9"/>
    <x v="9"/>
    <n v="130"/>
    <n v="10"/>
    <x v="3"/>
    <s v="14"/>
    <s v="UK"/>
    <s v="OCT"/>
  </r>
  <r>
    <x v="10"/>
    <x v="0"/>
    <x v="10"/>
    <n v="950"/>
    <n v="25"/>
    <x v="0"/>
    <s v="17"/>
    <s v="IN"/>
    <s v="JUN"/>
  </r>
  <r>
    <x v="11"/>
    <x v="1"/>
    <x v="6"/>
    <n v="90"/>
    <n v="40"/>
    <x v="1"/>
    <s v="25"/>
    <s v="AU"/>
    <s v="NOV"/>
  </r>
  <r>
    <x v="12"/>
    <x v="2"/>
    <x v="11"/>
    <n v="120"/>
    <n v="35"/>
    <x v="2"/>
    <s v="08"/>
    <s v="DE"/>
    <s v="DEC"/>
  </r>
  <r>
    <x v="13"/>
    <x v="10"/>
    <x v="12"/>
    <n v="150"/>
    <n v="15"/>
    <x v="0"/>
    <s v="18"/>
    <s v="CA"/>
    <s v="FEB"/>
  </r>
  <r>
    <x v="14"/>
    <x v="5"/>
    <x v="13"/>
    <n v="250"/>
    <n v="20"/>
    <x v="0"/>
    <s v="16"/>
    <s v="ES"/>
    <s v="APR"/>
  </r>
  <r>
    <x v="15"/>
    <x v="11"/>
    <x v="14"/>
    <n v="50"/>
    <n v="35"/>
    <x v="4"/>
    <s v="21"/>
    <s v="CA"/>
    <s v="AUG"/>
  </r>
  <r>
    <x v="16"/>
    <x v="10"/>
    <x v="15"/>
    <n v="160"/>
    <n v="15"/>
    <x v="0"/>
    <s v="20"/>
    <s v="CN"/>
    <s v="AUG"/>
  </r>
  <r>
    <x v="17"/>
    <x v="0"/>
    <x v="16"/>
    <n v="980"/>
    <n v="10"/>
    <x v="0"/>
    <s v="27"/>
    <s v="IT"/>
    <s v="JAN"/>
  </r>
  <r>
    <x v="18"/>
    <x v="12"/>
    <x v="17"/>
    <n v="150"/>
    <n v="15"/>
    <x v="1"/>
    <s v="01"/>
    <s v="UK"/>
    <s v="MAR"/>
  </r>
  <r>
    <x v="19"/>
    <x v="13"/>
    <x v="18"/>
    <n v="200"/>
    <n v="10"/>
    <x v="3"/>
    <s v="14"/>
    <s v="US"/>
    <s v="AUG"/>
  </r>
  <r>
    <x v="20"/>
    <x v="14"/>
    <x v="19"/>
    <n v="700"/>
    <n v="50"/>
    <x v="0"/>
    <s v="14"/>
    <s v="RU"/>
    <s v="MAY"/>
  </r>
  <r>
    <x v="21"/>
    <x v="15"/>
    <x v="20"/>
    <n v="80"/>
    <n v="20"/>
    <x v="2"/>
    <s v="09"/>
    <s v="CA"/>
    <s v="JAN"/>
  </r>
  <r>
    <x v="22"/>
    <x v="16"/>
    <x v="21"/>
    <n v="150"/>
    <n v="30"/>
    <x v="0"/>
    <s v="19"/>
    <s v="BR"/>
    <s v="JUL"/>
  </r>
  <r>
    <x v="15"/>
    <x v="11"/>
    <x v="14"/>
    <n v="50"/>
    <n v="35"/>
    <x v="4"/>
    <s v="21"/>
    <s v="CA"/>
    <s v="AUG"/>
  </r>
  <r>
    <x v="23"/>
    <x v="3"/>
    <x v="22"/>
    <n v="800"/>
    <n v="45"/>
    <x v="0"/>
    <s v="29"/>
    <s v="CA"/>
    <s v="SEP"/>
  </r>
  <r>
    <x v="24"/>
    <x v="12"/>
    <x v="23"/>
    <n v="130"/>
    <n v="25"/>
    <x v="1"/>
    <s v="03"/>
    <s v="CA"/>
    <s v="JUN"/>
  </r>
  <r>
    <x v="25"/>
    <x v="7"/>
    <x v="24"/>
    <n v="400"/>
    <n v="40"/>
    <x v="2"/>
    <s v="11"/>
    <s v="CA"/>
    <s v="JUL"/>
  </r>
  <r>
    <x v="14"/>
    <x v="5"/>
    <x v="13"/>
    <n v="230"/>
    <n v="20"/>
    <x v="0"/>
    <s v="16"/>
    <s v="ES"/>
    <s v="APR"/>
  </r>
  <r>
    <x v="26"/>
    <x v="17"/>
    <x v="25"/>
    <n v="60"/>
    <n v="30"/>
    <x v="1"/>
    <s v="07"/>
    <s v="CA"/>
    <s v="MAR"/>
  </r>
  <r>
    <x v="27"/>
    <x v="18"/>
    <x v="26"/>
    <n v="40"/>
    <n v="10"/>
    <x v="2"/>
    <s v="13"/>
    <s v="CA"/>
    <s v="APR"/>
  </r>
  <r>
    <x v="28"/>
    <x v="16"/>
    <x v="27"/>
    <n v="130"/>
    <n v="5"/>
    <x v="0"/>
    <s v="24"/>
    <s v="CA"/>
    <s v="MAY"/>
  </r>
  <r>
    <x v="29"/>
    <x v="19"/>
    <x v="28"/>
    <n v="50"/>
    <n v="50"/>
    <x v="1"/>
    <s v="02"/>
    <s v="CA"/>
    <s v="DEC"/>
  </r>
  <r>
    <x v="10"/>
    <x v="0"/>
    <x v="10"/>
    <n v="950"/>
    <n v="25"/>
    <x v="0"/>
    <s v="17"/>
    <s v="IN"/>
    <s v="JUN"/>
  </r>
  <r>
    <x v="30"/>
    <x v="20"/>
    <x v="29"/>
    <n v="100"/>
    <n v="20"/>
    <x v="4"/>
    <s v="09"/>
    <s v="FR"/>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37419B-3B1C-4E53-8FC9-03788FE9B32C}"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J2:L25" firstHeaderRow="0" firstDataRow="1" firstDataCol="1"/>
  <pivotFields count="9">
    <pivotField axis="axisRow" showAll="0" measureFilter="1">
      <items count="32">
        <item x="18"/>
        <item x="29"/>
        <item x="24"/>
        <item x="2"/>
        <item x="8"/>
        <item x="5"/>
        <item x="26"/>
        <item x="12"/>
        <item x="21"/>
        <item x="30"/>
        <item x="3"/>
        <item x="25"/>
        <item x="27"/>
        <item x="19"/>
        <item x="20"/>
        <item x="9"/>
        <item x="1"/>
        <item x="14"/>
        <item x="10"/>
        <item x="13"/>
        <item x="22"/>
        <item x="6"/>
        <item x="16"/>
        <item x="15"/>
        <item x="4"/>
        <item x="7"/>
        <item x="28"/>
        <item x="11"/>
        <item x="17"/>
        <item x="0"/>
        <item x="23"/>
        <item t="default"/>
      </items>
    </pivotField>
    <pivotField axis="axisRow" showAll="0">
      <items count="22">
        <item x="4"/>
        <item x="7"/>
        <item x="14"/>
        <item x="13"/>
        <item x="2"/>
        <item x="17"/>
        <item x="16"/>
        <item x="5"/>
        <item x="9"/>
        <item x="19"/>
        <item x="0"/>
        <item x="11"/>
        <item x="15"/>
        <item x="3"/>
        <item x="10"/>
        <item x="1"/>
        <item x="12"/>
        <item x="8"/>
        <item x="18"/>
        <item x="6"/>
        <item x="20"/>
        <item t="default"/>
      </items>
    </pivotField>
    <pivotField showAll="0">
      <items count="31">
        <item x="6"/>
        <item x="8"/>
        <item x="16"/>
        <item x="13"/>
        <item x="29"/>
        <item x="18"/>
        <item x="0"/>
        <item x="12"/>
        <item x="27"/>
        <item x="22"/>
        <item x="26"/>
        <item x="10"/>
        <item x="15"/>
        <item x="2"/>
        <item x="28"/>
        <item x="11"/>
        <item x="1"/>
        <item x="19"/>
        <item x="7"/>
        <item x="4"/>
        <item x="17"/>
        <item x="20"/>
        <item x="23"/>
        <item x="14"/>
        <item x="3"/>
        <item x="5"/>
        <item x="9"/>
        <item x="24"/>
        <item x="21"/>
        <item x="25"/>
        <item t="default"/>
      </items>
    </pivotField>
    <pivotField dataField="1" showAll="0"/>
    <pivotField dataField="1" showAll="0"/>
    <pivotField showAll="0">
      <items count="6">
        <item x="4"/>
        <item x="0"/>
        <item x="1"/>
        <item x="2"/>
        <item x="3"/>
        <item t="default"/>
      </items>
    </pivotField>
    <pivotField showAll="0"/>
    <pivotField showAll="0"/>
    <pivotField showAll="0"/>
  </pivotFields>
  <rowFields count="2">
    <field x="0"/>
    <field x="1"/>
  </rowFields>
  <rowItems count="23">
    <i>
      <x v="4"/>
    </i>
    <i r="1">
      <x v="17"/>
    </i>
    <i>
      <x v="5"/>
    </i>
    <i r="1">
      <x v="7"/>
    </i>
    <i>
      <x v="10"/>
    </i>
    <i r="1">
      <x v="13"/>
    </i>
    <i>
      <x v="11"/>
    </i>
    <i r="1">
      <x v="1"/>
    </i>
    <i>
      <x v="13"/>
    </i>
    <i r="1">
      <x v="3"/>
    </i>
    <i>
      <x v="14"/>
    </i>
    <i r="1">
      <x v="2"/>
    </i>
    <i>
      <x v="17"/>
    </i>
    <i r="1">
      <x v="7"/>
    </i>
    <i>
      <x v="18"/>
    </i>
    <i r="1">
      <x v="10"/>
    </i>
    <i>
      <x v="28"/>
    </i>
    <i r="1">
      <x v="10"/>
    </i>
    <i>
      <x v="29"/>
    </i>
    <i r="1">
      <x v="10"/>
    </i>
    <i>
      <x v="30"/>
    </i>
    <i r="1">
      <x v="13"/>
    </i>
    <i t="grand">
      <x/>
    </i>
  </rowItems>
  <colFields count="1">
    <field x="-2"/>
  </colFields>
  <colItems count="2">
    <i>
      <x/>
    </i>
    <i i="1">
      <x v="1"/>
    </i>
  </colItems>
  <dataFields count="2">
    <dataField name="Sum of Price ($)" fld="3" baseField="0" baseItem="0"/>
    <dataField name="Sum of Quantity" fld="4" baseField="0" baseItem="0"/>
  </dataFields>
  <chartFormats count="6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66" series="1">
      <pivotArea type="data" outline="0" fieldPosition="0">
        <references count="1">
          <reference field="4294967294" count="1" selected="0">
            <x v="0"/>
          </reference>
        </references>
      </pivotArea>
    </chartFormat>
    <chartFormat chart="9" format="67">
      <pivotArea type="data" outline="0" fieldPosition="0">
        <references count="3">
          <reference field="4294967294" count="1" selected="0">
            <x v="0"/>
          </reference>
          <reference field="0" count="1" selected="0">
            <x v="0"/>
          </reference>
          <reference field="1" count="1" selected="0">
            <x v="16"/>
          </reference>
        </references>
      </pivotArea>
    </chartFormat>
    <chartFormat chart="9" format="68">
      <pivotArea type="data" outline="0" fieldPosition="0">
        <references count="3">
          <reference field="4294967294" count="1" selected="0">
            <x v="0"/>
          </reference>
          <reference field="0" count="1" selected="0">
            <x v="1"/>
          </reference>
          <reference field="1" count="1" selected="0">
            <x v="9"/>
          </reference>
        </references>
      </pivotArea>
    </chartFormat>
    <chartFormat chart="9" format="69">
      <pivotArea type="data" outline="0" fieldPosition="0">
        <references count="3">
          <reference field="4294967294" count="1" selected="0">
            <x v="0"/>
          </reference>
          <reference field="0" count="1" selected="0">
            <x v="2"/>
          </reference>
          <reference field="1" count="1" selected="0">
            <x v="16"/>
          </reference>
        </references>
      </pivotArea>
    </chartFormat>
    <chartFormat chart="9" format="70">
      <pivotArea type="data" outline="0" fieldPosition="0">
        <references count="3">
          <reference field="4294967294" count="1" selected="0">
            <x v="0"/>
          </reference>
          <reference field="0" count="1" selected="0">
            <x v="3"/>
          </reference>
          <reference field="1" count="1" selected="0">
            <x v="4"/>
          </reference>
        </references>
      </pivotArea>
    </chartFormat>
    <chartFormat chart="9" format="71">
      <pivotArea type="data" outline="0" fieldPosition="0">
        <references count="3">
          <reference field="4294967294" count="1" selected="0">
            <x v="0"/>
          </reference>
          <reference field="0" count="1" selected="0">
            <x v="4"/>
          </reference>
          <reference field="1" count="1" selected="0">
            <x v="17"/>
          </reference>
        </references>
      </pivotArea>
    </chartFormat>
    <chartFormat chart="9" format="72">
      <pivotArea type="data" outline="0" fieldPosition="0">
        <references count="3">
          <reference field="4294967294" count="1" selected="0">
            <x v="0"/>
          </reference>
          <reference field="0" count="1" selected="0">
            <x v="5"/>
          </reference>
          <reference field="1" count="1" selected="0">
            <x v="7"/>
          </reference>
        </references>
      </pivotArea>
    </chartFormat>
    <chartFormat chart="9" format="73">
      <pivotArea type="data" outline="0" fieldPosition="0">
        <references count="3">
          <reference field="4294967294" count="1" selected="0">
            <x v="0"/>
          </reference>
          <reference field="0" count="1" selected="0">
            <x v="6"/>
          </reference>
          <reference field="1" count="1" selected="0">
            <x v="5"/>
          </reference>
        </references>
      </pivotArea>
    </chartFormat>
    <chartFormat chart="9" format="74">
      <pivotArea type="data" outline="0" fieldPosition="0">
        <references count="3">
          <reference field="4294967294" count="1" selected="0">
            <x v="0"/>
          </reference>
          <reference field="0" count="1" selected="0">
            <x v="7"/>
          </reference>
          <reference field="1" count="1" selected="0">
            <x v="4"/>
          </reference>
        </references>
      </pivotArea>
    </chartFormat>
    <chartFormat chart="9" format="75">
      <pivotArea type="data" outline="0" fieldPosition="0">
        <references count="3">
          <reference field="4294967294" count="1" selected="0">
            <x v="0"/>
          </reference>
          <reference field="0" count="1" selected="0">
            <x v="8"/>
          </reference>
          <reference field="1" count="1" selected="0">
            <x v="12"/>
          </reference>
        </references>
      </pivotArea>
    </chartFormat>
    <chartFormat chart="9" format="76">
      <pivotArea type="data" outline="0" fieldPosition="0">
        <references count="3">
          <reference field="4294967294" count="1" selected="0">
            <x v="0"/>
          </reference>
          <reference field="0" count="1" selected="0">
            <x v="9"/>
          </reference>
          <reference field="1" count="1" selected="0">
            <x v="20"/>
          </reference>
        </references>
      </pivotArea>
    </chartFormat>
    <chartFormat chart="9" format="77">
      <pivotArea type="data" outline="0" fieldPosition="0">
        <references count="3">
          <reference field="4294967294" count="1" selected="0">
            <x v="0"/>
          </reference>
          <reference field="0" count="1" selected="0">
            <x v="10"/>
          </reference>
          <reference field="1" count="1" selected="0">
            <x v="13"/>
          </reference>
        </references>
      </pivotArea>
    </chartFormat>
    <chartFormat chart="9" format="78">
      <pivotArea type="data" outline="0" fieldPosition="0">
        <references count="3">
          <reference field="4294967294" count="1" selected="0">
            <x v="0"/>
          </reference>
          <reference field="0" count="1" selected="0">
            <x v="11"/>
          </reference>
          <reference field="1" count="1" selected="0">
            <x v="1"/>
          </reference>
        </references>
      </pivotArea>
    </chartFormat>
    <chartFormat chart="9" format="79">
      <pivotArea type="data" outline="0" fieldPosition="0">
        <references count="3">
          <reference field="4294967294" count="1" selected="0">
            <x v="0"/>
          </reference>
          <reference field="0" count="1" selected="0">
            <x v="12"/>
          </reference>
          <reference field="1" count="1" selected="0">
            <x v="18"/>
          </reference>
        </references>
      </pivotArea>
    </chartFormat>
    <chartFormat chart="9" format="80">
      <pivotArea type="data" outline="0" fieldPosition="0">
        <references count="3">
          <reference field="4294967294" count="1" selected="0">
            <x v="0"/>
          </reference>
          <reference field="0" count="1" selected="0">
            <x v="13"/>
          </reference>
          <reference field="1" count="1" selected="0">
            <x v="3"/>
          </reference>
        </references>
      </pivotArea>
    </chartFormat>
    <chartFormat chart="9" format="81">
      <pivotArea type="data" outline="0" fieldPosition="0">
        <references count="3">
          <reference field="4294967294" count="1" selected="0">
            <x v="0"/>
          </reference>
          <reference field="0" count="1" selected="0">
            <x v="14"/>
          </reference>
          <reference field="1" count="1" selected="0">
            <x v="2"/>
          </reference>
        </references>
      </pivotArea>
    </chartFormat>
    <chartFormat chart="9" format="82">
      <pivotArea type="data" outline="0" fieldPosition="0">
        <references count="3">
          <reference field="4294967294" count="1" selected="0">
            <x v="0"/>
          </reference>
          <reference field="0" count="1" selected="0">
            <x v="15"/>
          </reference>
          <reference field="1" count="1" selected="0">
            <x v="8"/>
          </reference>
        </references>
      </pivotArea>
    </chartFormat>
    <chartFormat chart="9" format="83">
      <pivotArea type="data" outline="0" fieldPosition="0">
        <references count="3">
          <reference field="4294967294" count="1" selected="0">
            <x v="0"/>
          </reference>
          <reference field="0" count="1" selected="0">
            <x v="16"/>
          </reference>
          <reference field="1" count="1" selected="0">
            <x v="15"/>
          </reference>
        </references>
      </pivotArea>
    </chartFormat>
    <chartFormat chart="9" format="84">
      <pivotArea type="data" outline="0" fieldPosition="0">
        <references count="3">
          <reference field="4294967294" count="1" selected="0">
            <x v="0"/>
          </reference>
          <reference field="0" count="1" selected="0">
            <x v="17"/>
          </reference>
          <reference field="1" count="1" selected="0">
            <x v="7"/>
          </reference>
        </references>
      </pivotArea>
    </chartFormat>
    <chartFormat chart="9" format="85">
      <pivotArea type="data" outline="0" fieldPosition="0">
        <references count="3">
          <reference field="4294967294" count="1" selected="0">
            <x v="0"/>
          </reference>
          <reference field="0" count="1" selected="0">
            <x v="18"/>
          </reference>
          <reference field="1" count="1" selected="0">
            <x v="10"/>
          </reference>
        </references>
      </pivotArea>
    </chartFormat>
    <chartFormat chart="9" format="86">
      <pivotArea type="data" outline="0" fieldPosition="0">
        <references count="3">
          <reference field="4294967294" count="1" selected="0">
            <x v="0"/>
          </reference>
          <reference field="0" count="1" selected="0">
            <x v="19"/>
          </reference>
          <reference field="1" count="1" selected="0">
            <x v="14"/>
          </reference>
        </references>
      </pivotArea>
    </chartFormat>
    <chartFormat chart="9" format="87">
      <pivotArea type="data" outline="0" fieldPosition="0">
        <references count="3">
          <reference field="4294967294" count="1" selected="0">
            <x v="0"/>
          </reference>
          <reference field="0" count="1" selected="0">
            <x v="20"/>
          </reference>
          <reference field="1" count="1" selected="0">
            <x v="6"/>
          </reference>
        </references>
      </pivotArea>
    </chartFormat>
    <chartFormat chart="9" format="88">
      <pivotArea type="data" outline="0" fieldPosition="0">
        <references count="3">
          <reference field="4294967294" count="1" selected="0">
            <x v="0"/>
          </reference>
          <reference field="0" count="1" selected="0">
            <x v="21"/>
          </reference>
          <reference field="1" count="1" selected="0">
            <x v="19"/>
          </reference>
        </references>
      </pivotArea>
    </chartFormat>
    <chartFormat chart="9" format="89">
      <pivotArea type="data" outline="0" fieldPosition="0">
        <references count="3">
          <reference field="4294967294" count="1" selected="0">
            <x v="0"/>
          </reference>
          <reference field="0" count="1" selected="0">
            <x v="22"/>
          </reference>
          <reference field="1" count="1" selected="0">
            <x v="14"/>
          </reference>
        </references>
      </pivotArea>
    </chartFormat>
    <chartFormat chart="9" format="90">
      <pivotArea type="data" outline="0" fieldPosition="0">
        <references count="3">
          <reference field="4294967294" count="1" selected="0">
            <x v="0"/>
          </reference>
          <reference field="0" count="1" selected="0">
            <x v="23"/>
          </reference>
          <reference field="1" count="1" selected="0">
            <x v="11"/>
          </reference>
        </references>
      </pivotArea>
    </chartFormat>
    <chartFormat chart="9" format="91">
      <pivotArea type="data" outline="0" fieldPosition="0">
        <references count="3">
          <reference field="4294967294" count="1" selected="0">
            <x v="0"/>
          </reference>
          <reference field="0" count="1" selected="0">
            <x v="24"/>
          </reference>
          <reference field="1" count="1" selected="0">
            <x v="0"/>
          </reference>
        </references>
      </pivotArea>
    </chartFormat>
    <chartFormat chart="9" format="92">
      <pivotArea type="data" outline="0" fieldPosition="0">
        <references count="3">
          <reference field="4294967294" count="1" selected="0">
            <x v="0"/>
          </reference>
          <reference field="0" count="1" selected="0">
            <x v="25"/>
          </reference>
          <reference field="1" count="1" selected="0">
            <x v="1"/>
          </reference>
        </references>
      </pivotArea>
    </chartFormat>
    <chartFormat chart="9" format="93">
      <pivotArea type="data" outline="0" fieldPosition="0">
        <references count="3">
          <reference field="4294967294" count="1" selected="0">
            <x v="0"/>
          </reference>
          <reference field="0" count="1" selected="0">
            <x v="26"/>
          </reference>
          <reference field="1" count="1" selected="0">
            <x v="6"/>
          </reference>
        </references>
      </pivotArea>
    </chartFormat>
    <chartFormat chart="9" format="94">
      <pivotArea type="data" outline="0" fieldPosition="0">
        <references count="3">
          <reference field="4294967294" count="1" selected="0">
            <x v="0"/>
          </reference>
          <reference field="0" count="1" selected="0">
            <x v="27"/>
          </reference>
          <reference field="1" count="1" selected="0">
            <x v="15"/>
          </reference>
        </references>
      </pivotArea>
    </chartFormat>
    <chartFormat chart="9" format="95">
      <pivotArea type="data" outline="0" fieldPosition="0">
        <references count="3">
          <reference field="4294967294" count="1" selected="0">
            <x v="0"/>
          </reference>
          <reference field="0" count="1" selected="0">
            <x v="28"/>
          </reference>
          <reference field="1" count="1" selected="0">
            <x v="10"/>
          </reference>
        </references>
      </pivotArea>
    </chartFormat>
    <chartFormat chart="9" format="96">
      <pivotArea type="data" outline="0" fieldPosition="0">
        <references count="3">
          <reference field="4294967294" count="1" selected="0">
            <x v="0"/>
          </reference>
          <reference field="0" count="1" selected="0">
            <x v="29"/>
          </reference>
          <reference field="1" count="1" selected="0">
            <x v="10"/>
          </reference>
        </references>
      </pivotArea>
    </chartFormat>
    <chartFormat chart="9" format="97">
      <pivotArea type="data" outline="0" fieldPosition="0">
        <references count="3">
          <reference field="4294967294" count="1" selected="0">
            <x v="0"/>
          </reference>
          <reference field="0" count="1" selected="0">
            <x v="30"/>
          </reference>
          <reference field="1" count="1" selected="0">
            <x v="13"/>
          </reference>
        </references>
      </pivotArea>
    </chartFormat>
    <chartFormat chart="9" format="98" series="1">
      <pivotArea type="data" outline="0" fieldPosition="0">
        <references count="1">
          <reference field="4294967294" count="1" selected="0">
            <x v="1"/>
          </reference>
        </references>
      </pivotArea>
    </chartFormat>
    <chartFormat chart="9" format="99">
      <pivotArea type="data" outline="0" fieldPosition="0">
        <references count="3">
          <reference field="4294967294" count="1" selected="0">
            <x v="1"/>
          </reference>
          <reference field="0" count="1" selected="0">
            <x v="0"/>
          </reference>
          <reference field="1" count="1" selected="0">
            <x v="16"/>
          </reference>
        </references>
      </pivotArea>
    </chartFormat>
    <chartFormat chart="9" format="100">
      <pivotArea type="data" outline="0" fieldPosition="0">
        <references count="3">
          <reference field="4294967294" count="1" selected="0">
            <x v="1"/>
          </reference>
          <reference field="0" count="1" selected="0">
            <x v="1"/>
          </reference>
          <reference field="1" count="1" selected="0">
            <x v="9"/>
          </reference>
        </references>
      </pivotArea>
    </chartFormat>
    <chartFormat chart="9" format="101">
      <pivotArea type="data" outline="0" fieldPosition="0">
        <references count="3">
          <reference field="4294967294" count="1" selected="0">
            <x v="1"/>
          </reference>
          <reference field="0" count="1" selected="0">
            <x v="2"/>
          </reference>
          <reference field="1" count="1" selected="0">
            <x v="16"/>
          </reference>
        </references>
      </pivotArea>
    </chartFormat>
    <chartFormat chart="9" format="102">
      <pivotArea type="data" outline="0" fieldPosition="0">
        <references count="3">
          <reference field="4294967294" count="1" selected="0">
            <x v="1"/>
          </reference>
          <reference field="0" count="1" selected="0">
            <x v="3"/>
          </reference>
          <reference field="1" count="1" selected="0">
            <x v="4"/>
          </reference>
        </references>
      </pivotArea>
    </chartFormat>
    <chartFormat chart="9" format="103">
      <pivotArea type="data" outline="0" fieldPosition="0">
        <references count="3">
          <reference field="4294967294" count="1" selected="0">
            <x v="1"/>
          </reference>
          <reference field="0" count="1" selected="0">
            <x v="4"/>
          </reference>
          <reference field="1" count="1" selected="0">
            <x v="17"/>
          </reference>
        </references>
      </pivotArea>
    </chartFormat>
    <chartFormat chart="9" format="104">
      <pivotArea type="data" outline="0" fieldPosition="0">
        <references count="3">
          <reference field="4294967294" count="1" selected="0">
            <x v="1"/>
          </reference>
          <reference field="0" count="1" selected="0">
            <x v="5"/>
          </reference>
          <reference field="1" count="1" selected="0">
            <x v="7"/>
          </reference>
        </references>
      </pivotArea>
    </chartFormat>
    <chartFormat chart="9" format="105">
      <pivotArea type="data" outline="0" fieldPosition="0">
        <references count="3">
          <reference field="4294967294" count="1" selected="0">
            <x v="1"/>
          </reference>
          <reference field="0" count="1" selected="0">
            <x v="6"/>
          </reference>
          <reference field="1" count="1" selected="0">
            <x v="5"/>
          </reference>
        </references>
      </pivotArea>
    </chartFormat>
    <chartFormat chart="9" format="106">
      <pivotArea type="data" outline="0" fieldPosition="0">
        <references count="3">
          <reference field="4294967294" count="1" selected="0">
            <x v="1"/>
          </reference>
          <reference field="0" count="1" selected="0">
            <x v="7"/>
          </reference>
          <reference field="1" count="1" selected="0">
            <x v="4"/>
          </reference>
        </references>
      </pivotArea>
    </chartFormat>
    <chartFormat chart="9" format="107">
      <pivotArea type="data" outline="0" fieldPosition="0">
        <references count="3">
          <reference field="4294967294" count="1" selected="0">
            <x v="1"/>
          </reference>
          <reference field="0" count="1" selected="0">
            <x v="8"/>
          </reference>
          <reference field="1" count="1" selected="0">
            <x v="12"/>
          </reference>
        </references>
      </pivotArea>
    </chartFormat>
    <chartFormat chart="9" format="108">
      <pivotArea type="data" outline="0" fieldPosition="0">
        <references count="3">
          <reference field="4294967294" count="1" selected="0">
            <x v="1"/>
          </reference>
          <reference field="0" count="1" selected="0">
            <x v="9"/>
          </reference>
          <reference field="1" count="1" selected="0">
            <x v="20"/>
          </reference>
        </references>
      </pivotArea>
    </chartFormat>
    <chartFormat chart="9" format="109">
      <pivotArea type="data" outline="0" fieldPosition="0">
        <references count="3">
          <reference field="4294967294" count="1" selected="0">
            <x v="1"/>
          </reference>
          <reference field="0" count="1" selected="0">
            <x v="10"/>
          </reference>
          <reference field="1" count="1" selected="0">
            <x v="13"/>
          </reference>
        </references>
      </pivotArea>
    </chartFormat>
    <chartFormat chart="9" format="110">
      <pivotArea type="data" outline="0" fieldPosition="0">
        <references count="3">
          <reference field="4294967294" count="1" selected="0">
            <x v="1"/>
          </reference>
          <reference field="0" count="1" selected="0">
            <x v="11"/>
          </reference>
          <reference field="1" count="1" selected="0">
            <x v="1"/>
          </reference>
        </references>
      </pivotArea>
    </chartFormat>
    <chartFormat chart="9" format="111">
      <pivotArea type="data" outline="0" fieldPosition="0">
        <references count="3">
          <reference field="4294967294" count="1" selected="0">
            <x v="1"/>
          </reference>
          <reference field="0" count="1" selected="0">
            <x v="12"/>
          </reference>
          <reference field="1" count="1" selected="0">
            <x v="18"/>
          </reference>
        </references>
      </pivotArea>
    </chartFormat>
    <chartFormat chart="9" format="112">
      <pivotArea type="data" outline="0" fieldPosition="0">
        <references count="3">
          <reference field="4294967294" count="1" selected="0">
            <x v="1"/>
          </reference>
          <reference field="0" count="1" selected="0">
            <x v="13"/>
          </reference>
          <reference field="1" count="1" selected="0">
            <x v="3"/>
          </reference>
        </references>
      </pivotArea>
    </chartFormat>
    <chartFormat chart="9" format="113">
      <pivotArea type="data" outline="0" fieldPosition="0">
        <references count="3">
          <reference field="4294967294" count="1" selected="0">
            <x v="1"/>
          </reference>
          <reference field="0" count="1" selected="0">
            <x v="14"/>
          </reference>
          <reference field="1" count="1" selected="0">
            <x v="2"/>
          </reference>
        </references>
      </pivotArea>
    </chartFormat>
    <chartFormat chart="9" format="114">
      <pivotArea type="data" outline="0" fieldPosition="0">
        <references count="3">
          <reference field="4294967294" count="1" selected="0">
            <x v="1"/>
          </reference>
          <reference field="0" count="1" selected="0">
            <x v="15"/>
          </reference>
          <reference field="1" count="1" selected="0">
            <x v="8"/>
          </reference>
        </references>
      </pivotArea>
    </chartFormat>
    <chartFormat chart="9" format="115">
      <pivotArea type="data" outline="0" fieldPosition="0">
        <references count="3">
          <reference field="4294967294" count="1" selected="0">
            <x v="1"/>
          </reference>
          <reference field="0" count="1" selected="0">
            <x v="16"/>
          </reference>
          <reference field="1" count="1" selected="0">
            <x v="15"/>
          </reference>
        </references>
      </pivotArea>
    </chartFormat>
    <chartFormat chart="9" format="116">
      <pivotArea type="data" outline="0" fieldPosition="0">
        <references count="3">
          <reference field="4294967294" count="1" selected="0">
            <x v="1"/>
          </reference>
          <reference field="0" count="1" selected="0">
            <x v="17"/>
          </reference>
          <reference field="1" count="1" selected="0">
            <x v="7"/>
          </reference>
        </references>
      </pivotArea>
    </chartFormat>
    <chartFormat chart="9" format="117">
      <pivotArea type="data" outline="0" fieldPosition="0">
        <references count="3">
          <reference field="4294967294" count="1" selected="0">
            <x v="1"/>
          </reference>
          <reference field="0" count="1" selected="0">
            <x v="18"/>
          </reference>
          <reference field="1" count="1" selected="0">
            <x v="10"/>
          </reference>
        </references>
      </pivotArea>
    </chartFormat>
    <chartFormat chart="9" format="118">
      <pivotArea type="data" outline="0" fieldPosition="0">
        <references count="3">
          <reference field="4294967294" count="1" selected="0">
            <x v="1"/>
          </reference>
          <reference field="0" count="1" selected="0">
            <x v="19"/>
          </reference>
          <reference field="1" count="1" selected="0">
            <x v="14"/>
          </reference>
        </references>
      </pivotArea>
    </chartFormat>
    <chartFormat chart="9" format="119">
      <pivotArea type="data" outline="0" fieldPosition="0">
        <references count="3">
          <reference field="4294967294" count="1" selected="0">
            <x v="1"/>
          </reference>
          <reference field="0" count="1" selected="0">
            <x v="20"/>
          </reference>
          <reference field="1" count="1" selected="0">
            <x v="6"/>
          </reference>
        </references>
      </pivotArea>
    </chartFormat>
    <chartFormat chart="9" format="120">
      <pivotArea type="data" outline="0" fieldPosition="0">
        <references count="3">
          <reference field="4294967294" count="1" selected="0">
            <x v="1"/>
          </reference>
          <reference field="0" count="1" selected="0">
            <x v="21"/>
          </reference>
          <reference field="1" count="1" selected="0">
            <x v="19"/>
          </reference>
        </references>
      </pivotArea>
    </chartFormat>
    <chartFormat chart="9" format="121">
      <pivotArea type="data" outline="0" fieldPosition="0">
        <references count="3">
          <reference field="4294967294" count="1" selected="0">
            <x v="1"/>
          </reference>
          <reference field="0" count="1" selected="0">
            <x v="22"/>
          </reference>
          <reference field="1" count="1" selected="0">
            <x v="14"/>
          </reference>
        </references>
      </pivotArea>
    </chartFormat>
    <chartFormat chart="9" format="122">
      <pivotArea type="data" outline="0" fieldPosition="0">
        <references count="3">
          <reference field="4294967294" count="1" selected="0">
            <x v="1"/>
          </reference>
          <reference field="0" count="1" selected="0">
            <x v="23"/>
          </reference>
          <reference field="1" count="1" selected="0">
            <x v="11"/>
          </reference>
        </references>
      </pivotArea>
    </chartFormat>
    <chartFormat chart="9" format="123">
      <pivotArea type="data" outline="0" fieldPosition="0">
        <references count="3">
          <reference field="4294967294" count="1" selected="0">
            <x v="1"/>
          </reference>
          <reference field="0" count="1" selected="0">
            <x v="24"/>
          </reference>
          <reference field="1" count="1" selected="0">
            <x v="0"/>
          </reference>
        </references>
      </pivotArea>
    </chartFormat>
    <chartFormat chart="9" format="124">
      <pivotArea type="data" outline="0" fieldPosition="0">
        <references count="3">
          <reference field="4294967294" count="1" selected="0">
            <x v="1"/>
          </reference>
          <reference field="0" count="1" selected="0">
            <x v="25"/>
          </reference>
          <reference field="1" count="1" selected="0">
            <x v="1"/>
          </reference>
        </references>
      </pivotArea>
    </chartFormat>
    <chartFormat chart="9" format="125">
      <pivotArea type="data" outline="0" fieldPosition="0">
        <references count="3">
          <reference field="4294967294" count="1" selected="0">
            <x v="1"/>
          </reference>
          <reference field="0" count="1" selected="0">
            <x v="26"/>
          </reference>
          <reference field="1" count="1" selected="0">
            <x v="6"/>
          </reference>
        </references>
      </pivotArea>
    </chartFormat>
    <chartFormat chart="9" format="126">
      <pivotArea type="data" outline="0" fieldPosition="0">
        <references count="3">
          <reference field="4294967294" count="1" selected="0">
            <x v="1"/>
          </reference>
          <reference field="0" count="1" selected="0">
            <x v="27"/>
          </reference>
          <reference field="1" count="1" selected="0">
            <x v="15"/>
          </reference>
        </references>
      </pivotArea>
    </chartFormat>
    <chartFormat chart="9" format="127">
      <pivotArea type="data" outline="0" fieldPosition="0">
        <references count="3">
          <reference field="4294967294" count="1" selected="0">
            <x v="1"/>
          </reference>
          <reference field="0" count="1" selected="0">
            <x v="28"/>
          </reference>
          <reference field="1" count="1" selected="0">
            <x v="10"/>
          </reference>
        </references>
      </pivotArea>
    </chartFormat>
    <chartFormat chart="9" format="128">
      <pivotArea type="data" outline="0" fieldPosition="0">
        <references count="3">
          <reference field="4294967294" count="1" selected="0">
            <x v="1"/>
          </reference>
          <reference field="0" count="1" selected="0">
            <x v="29"/>
          </reference>
          <reference field="1" count="1" selected="0">
            <x v="10"/>
          </reference>
        </references>
      </pivotArea>
    </chartFormat>
    <chartFormat chart="9" format="129">
      <pivotArea type="data" outline="0" fieldPosition="0">
        <references count="3">
          <reference field="4294967294" count="1" selected="0">
            <x v="1"/>
          </reference>
          <reference field="0" count="1" selected="0">
            <x v="30"/>
          </reference>
          <reference field="1" count="1" selected="0">
            <x v="1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99E54-75F4-4A00-8369-3CCE8C2E3C0F}" name="PivotTable10" cacheId="8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9:C36" firstHeaderRow="1" firstDataRow="1" firstDataCol="0"/>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F4AD3-85EB-4909-9A56-60F9920E1B3A}" name="PivotTable9"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4:K15" firstHeaderRow="1" firstDataRow="1" firstDataCol="1" rowPageCount="2" colPageCount="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2">
    <pageField fld="2" hier="5" name="[Range].[Category].[All]" cap="All"/>
    <pageField fld="3" hier="2" name="[Range].[Product Name 2].[All]" cap="All"/>
  </pageFields>
  <dataFields count="1">
    <dataField name="Sum of Price ($)" fld="1"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3E85E-FB0E-4B2B-BFA6-CD1B575FB9D8}" name="PivotTable8"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0556F6-BD57-4B2B-848E-7EE55D43230B}" name="PivotTable7"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H34" firstHeaderRow="0" firstDataRow="1" firstDataCol="1" rowPageCount="1" colPageCount="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pageFields count="1">
    <pageField fld="3" hier="5" name="[Range].[Category].[All]" cap="All"/>
  </pageFields>
  <dataFields count="2">
    <dataField name="Sum of Quantity" fld="1" baseField="0" baseItem="0"/>
    <dataField name="Count of Product Name" fld="2" subtotal="count"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9B2131-56AF-41EC-9F47-ADF04EBF949F}" name="PivotTable6"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howAll="0" dataSourceSort="1" defaultAttributeDrillState="1">
      <items count="6">
        <item x="0"/>
        <item x="1"/>
        <item x="2"/>
        <item x="3"/>
        <item x="4"/>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Count of Product Name" fld="0" subtotal="count" baseField="0" baseItem="0"/>
    <dataField name="Sum of Quantity" fld="1" baseField="0" baseItem="0"/>
    <dataField name="Sum of Price ($)" fld="2"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 table!$A$1:$I$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3CD788-BBB9-4E77-B6DC-11E23E65C2CC}" sourceName="[Range].[Category]">
  <data>
    <olap pivotCacheId="1330968662">
      <levels count="2">
        <level uniqueName="[Range].[Category].[(All)]" sourceCaption="(All)" count="0"/>
        <level uniqueName="[Range].[Category].[Category]" sourceCaption="Category" count="5">
          <ranges>
            <range startItem="0">
              <i n="[Range].[Category].&amp;[Accessories]" c="Accessories"/>
              <i n="[Range].[Category].&amp;[Electronics]" c="Electronics"/>
              <i n="[Range].[Category].&amp;[Fashion]" c="Fashion"/>
              <i n="[Range].[Category].&amp;[Kitchen]" c="Kitchen"/>
              <i n="[Range].[Category].&amp;[Outdoor]" c="Outdoor"/>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9C922B1-CBEE-423B-861B-AA78E7BE5672}" sourceName="[Range].[Product Name]">
  <data>
    <olap pivotCacheId="1330968662">
      <levels count="2">
        <level uniqueName="[Range].[Product Name].[(All)]" sourceCaption="(All)" count="0"/>
        <level uniqueName="[Range].[Product Name].[Product Name]" sourceCaption="Product Name" count="21">
          <ranges>
            <range startItem="0">
              <i n="[Range].[Product Name].&amp;[Backpack]" c="Backpack"/>
              <i n="[Range].[Product Name].&amp;[Blender]" c="Blender"/>
              <i n="[Range].[Product Name].&amp;[Camera]" c="Camera"/>
              <i n="[Range].[Product Name].&amp;[Camping Tent]" c="Camping Tent"/>
              <i n="[Range].[Product Name].&amp;[Coffee Maker]" c="Coffee Maker"/>
              <i n="[Range].[Product Name].&amp;[Dress]" c="Dress"/>
              <i n="[Range].[Product Name].&amp;[Fitness Tracker]" c="Fitness Tracker"/>
              <i n="[Range].[Product Name].&amp;[Headphones]" c="Headphones"/>
              <i n="[Range].[Product Name].&amp;[Hiking Boots]" c="Hiking Boots"/>
              <i n="[Range].[Product Name].&amp;[Jeans]" c="Jeans"/>
              <i n="[Range].[Product Name].&amp;[Laptop]" c="Laptop"/>
              <i n="[Range].[Product Name].&amp;[Laptop Bag]" c="Laptop Bag"/>
              <i n="[Range].[Product Name].&amp;[Microwave]" c="Microwave"/>
              <i n="[Range].[Product Name].&amp;[Smartphone]" c="Smartphone"/>
              <i n="[Range].[Product Name].&amp;[Smartwatch]" c="Smartwatch"/>
              <i n="[Range].[Product Name].&amp;[Sneakers]" c="Sneakers"/>
              <i n="[Range].[Product Name].&amp;[Sunglasses]" c="Sunglasses"/>
              <i n="[Range].[Product Name].&amp;[Tablet]" c="Tablet"/>
              <i n="[Range].[Product Name].&amp;[Toaster]" c="Toaster"/>
              <i n="[Range].[Product Name].&amp;[T-shirt]" c="T-shirt"/>
              <i n="[Range].[Product Name].&amp;[Watch]" c="Watch"/>
            </range>
          </ranges>
        </level>
      </levels>
      <selections count="1">
        <selection n="[Range].[Product Name].&amp;[Lapto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0D6093-3AC4-4BC0-86E8-2FE2660A5259}" cache="Slicer_Category" caption="Category" level="1" rowHeight="209550"/>
  <slicer name="Product Name" xr10:uid="{EFE30986-DA17-4556-BD49-79C3504F8905}" cache="Slicer_Product_Name" caption="Product Name" startItem="8" level="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abSelected="1" topLeftCell="A16" workbookViewId="0">
      <selection sqref="A1:F35"/>
    </sheetView>
  </sheetViews>
  <sheetFormatPr defaultColWidth="12.6640625" defaultRowHeight="15" customHeight="1" x14ac:dyDescent="0.25"/>
  <cols>
    <col min="2" max="2" width="14.109375" customWidth="1"/>
  </cols>
  <sheetData>
    <row r="1" spans="1:10" ht="15.75" customHeight="1" x14ac:dyDescent="0.25">
      <c r="A1" s="1" t="s">
        <v>0</v>
      </c>
      <c r="B1" s="1" t="s">
        <v>1</v>
      </c>
      <c r="C1" s="1" t="s">
        <v>2</v>
      </c>
      <c r="D1" s="1" t="s">
        <v>3</v>
      </c>
      <c r="E1" s="1" t="s">
        <v>4</v>
      </c>
      <c r="F1" s="1" t="s">
        <v>5</v>
      </c>
      <c r="G1" s="2"/>
    </row>
    <row r="2" spans="1:10" ht="15.75" customHeight="1" x14ac:dyDescent="0.25">
      <c r="A2" s="3" t="s">
        <v>6</v>
      </c>
      <c r="B2" s="3" t="s">
        <v>7</v>
      </c>
      <c r="C2" s="3" t="s">
        <v>8</v>
      </c>
      <c r="D2" s="3">
        <v>1000</v>
      </c>
      <c r="E2" s="3">
        <v>30</v>
      </c>
      <c r="F2" s="3" t="s">
        <v>9</v>
      </c>
      <c r="G2" s="3"/>
    </row>
    <row r="3" spans="1:10" ht="15.75" customHeight="1" x14ac:dyDescent="0.25">
      <c r="A3" s="4" t="s">
        <v>10</v>
      </c>
      <c r="B3" s="4" t="s">
        <v>11</v>
      </c>
      <c r="C3" s="4" t="s">
        <v>12</v>
      </c>
      <c r="D3" s="4">
        <v>80</v>
      </c>
      <c r="E3" s="4">
        <v>15</v>
      </c>
      <c r="F3" s="4" t="s">
        <v>13</v>
      </c>
      <c r="G3" s="3"/>
    </row>
    <row r="4" spans="1:10" ht="15.75" customHeight="1" x14ac:dyDescent="0.25">
      <c r="A4" s="3" t="s">
        <v>14</v>
      </c>
      <c r="B4" s="3" t="s">
        <v>15</v>
      </c>
      <c r="C4" s="3" t="s">
        <v>16</v>
      </c>
      <c r="D4" s="3">
        <v>130</v>
      </c>
      <c r="E4" s="3">
        <v>40</v>
      </c>
      <c r="F4" s="3" t="s">
        <v>17</v>
      </c>
      <c r="G4" s="3"/>
    </row>
    <row r="5" spans="1:10" ht="15.75" customHeight="1" x14ac:dyDescent="0.25">
      <c r="A5" s="4" t="s">
        <v>18</v>
      </c>
      <c r="B5" s="4" t="s">
        <v>19</v>
      </c>
      <c r="C5" s="4" t="s">
        <v>20</v>
      </c>
      <c r="D5" s="4">
        <v>900</v>
      </c>
      <c r="E5" s="4">
        <v>25</v>
      </c>
      <c r="F5" s="4" t="s">
        <v>9</v>
      </c>
      <c r="G5" s="3"/>
      <c r="H5" s="6" t="s">
        <v>93</v>
      </c>
      <c r="I5" s="6"/>
      <c r="J5" s="6"/>
    </row>
    <row r="6" spans="1:10" ht="15.75" customHeight="1" x14ac:dyDescent="0.25">
      <c r="A6" s="3" t="s">
        <v>21</v>
      </c>
      <c r="B6" s="3" t="s">
        <v>22</v>
      </c>
      <c r="C6" s="3" t="s">
        <v>23</v>
      </c>
      <c r="D6" s="3">
        <v>70</v>
      </c>
      <c r="E6" s="3">
        <v>20</v>
      </c>
      <c r="F6" s="3" t="s">
        <v>24</v>
      </c>
      <c r="G6" s="3"/>
      <c r="H6" s="6"/>
    </row>
    <row r="7" spans="1:10" ht="15.75" customHeight="1" x14ac:dyDescent="0.25">
      <c r="A7" s="4" t="s">
        <v>25</v>
      </c>
      <c r="B7" s="4" t="s">
        <v>26</v>
      </c>
      <c r="C7" s="4" t="s">
        <v>27</v>
      </c>
      <c r="D7" s="4">
        <v>200</v>
      </c>
      <c r="E7" s="4">
        <v>45</v>
      </c>
      <c r="F7" s="4" t="s">
        <v>9</v>
      </c>
      <c r="G7" s="3"/>
      <c r="H7" s="6" t="s">
        <v>94</v>
      </c>
    </row>
    <row r="8" spans="1:10" ht="15.75" customHeight="1" x14ac:dyDescent="0.25">
      <c r="A8" s="3" t="s">
        <v>28</v>
      </c>
      <c r="B8" s="3" t="s">
        <v>29</v>
      </c>
      <c r="C8" s="3" t="s">
        <v>30</v>
      </c>
      <c r="D8" s="3">
        <v>30</v>
      </c>
      <c r="E8" s="3">
        <v>5</v>
      </c>
      <c r="F8" s="3" t="s">
        <v>13</v>
      </c>
      <c r="G8" s="3"/>
    </row>
    <row r="9" spans="1:10" ht="15.75" customHeight="1" x14ac:dyDescent="0.25">
      <c r="A9" s="4" t="s">
        <v>31</v>
      </c>
      <c r="B9" s="4" t="s">
        <v>32</v>
      </c>
      <c r="C9" s="4" t="s">
        <v>33</v>
      </c>
      <c r="D9" s="4">
        <v>90</v>
      </c>
      <c r="E9" s="4">
        <v>35</v>
      </c>
      <c r="F9" s="4" t="s">
        <v>17</v>
      </c>
      <c r="G9" s="3"/>
    </row>
    <row r="10" spans="1:10" ht="15.75" customHeight="1" x14ac:dyDescent="0.25">
      <c r="A10" s="3" t="s">
        <v>34</v>
      </c>
      <c r="B10" s="3" t="s">
        <v>35</v>
      </c>
      <c r="C10" s="3" t="s">
        <v>36</v>
      </c>
      <c r="D10" s="3">
        <v>500</v>
      </c>
      <c r="E10" s="3">
        <v>50</v>
      </c>
      <c r="F10" s="3" t="s">
        <v>9</v>
      </c>
      <c r="G10" s="3"/>
    </row>
    <row r="11" spans="1:10" ht="15.75" customHeight="1" x14ac:dyDescent="0.25">
      <c r="A11" s="4" t="s">
        <v>37</v>
      </c>
      <c r="B11" s="4" t="s">
        <v>38</v>
      </c>
      <c r="C11" s="4" t="s">
        <v>39</v>
      </c>
      <c r="D11" s="4">
        <v>130</v>
      </c>
      <c r="E11" s="4">
        <v>10</v>
      </c>
      <c r="F11" s="4" t="s">
        <v>24</v>
      </c>
      <c r="G11" s="3"/>
    </row>
    <row r="12" spans="1:10" ht="15.75" customHeight="1" x14ac:dyDescent="0.25">
      <c r="A12" s="3" t="s">
        <v>40</v>
      </c>
      <c r="B12" s="3" t="s">
        <v>7</v>
      </c>
      <c r="C12" s="3" t="s">
        <v>41</v>
      </c>
      <c r="D12" s="3">
        <v>950</v>
      </c>
      <c r="E12" s="3">
        <v>25</v>
      </c>
      <c r="F12" s="3" t="s">
        <v>9</v>
      </c>
      <c r="G12" s="3"/>
    </row>
    <row r="13" spans="1:10" ht="15.75" customHeight="1" x14ac:dyDescent="0.25">
      <c r="A13" s="4" t="s">
        <v>42</v>
      </c>
      <c r="B13" s="4" t="s">
        <v>11</v>
      </c>
      <c r="C13" s="4" t="s">
        <v>30</v>
      </c>
      <c r="D13" s="4">
        <v>90</v>
      </c>
      <c r="E13" s="4">
        <v>40</v>
      </c>
      <c r="F13" s="4" t="s">
        <v>13</v>
      </c>
      <c r="G13" s="3"/>
    </row>
    <row r="14" spans="1:10" ht="15.75" customHeight="1" x14ac:dyDescent="0.25">
      <c r="A14" s="3" t="s">
        <v>43</v>
      </c>
      <c r="B14" s="3" t="s">
        <v>15</v>
      </c>
      <c r="C14" s="3" t="s">
        <v>44</v>
      </c>
      <c r="D14" s="3">
        <v>120</v>
      </c>
      <c r="E14" s="3">
        <v>35</v>
      </c>
      <c r="F14" s="3" t="s">
        <v>17</v>
      </c>
      <c r="G14" s="3"/>
    </row>
    <row r="15" spans="1:10" ht="15.75" customHeight="1" x14ac:dyDescent="0.25">
      <c r="A15" s="4" t="s">
        <v>45</v>
      </c>
      <c r="B15" s="4" t="s">
        <v>46</v>
      </c>
      <c r="C15" s="4" t="s">
        <v>47</v>
      </c>
      <c r="D15" s="4">
        <v>150</v>
      </c>
      <c r="E15" s="4">
        <v>15</v>
      </c>
      <c r="F15" s="4" t="s">
        <v>9</v>
      </c>
      <c r="G15" s="3"/>
    </row>
    <row r="16" spans="1:10" ht="15.75" customHeight="1" x14ac:dyDescent="0.25">
      <c r="A16" s="3" t="s">
        <v>48</v>
      </c>
      <c r="B16" s="3" t="s">
        <v>26</v>
      </c>
      <c r="C16" s="3" t="s">
        <v>49</v>
      </c>
      <c r="D16" s="3">
        <v>250</v>
      </c>
      <c r="E16" s="3">
        <v>20</v>
      </c>
      <c r="F16" s="3" t="s">
        <v>9</v>
      </c>
      <c r="G16" s="3"/>
    </row>
    <row r="17" spans="1:7" ht="15.75" customHeight="1" x14ac:dyDescent="0.25">
      <c r="A17" s="4" t="s">
        <v>50</v>
      </c>
      <c r="B17" s="4" t="s">
        <v>51</v>
      </c>
      <c r="C17" s="4" t="s">
        <v>52</v>
      </c>
      <c r="D17" s="4">
        <v>50</v>
      </c>
      <c r="E17" s="4">
        <v>35</v>
      </c>
      <c r="F17" s="4" t="s">
        <v>53</v>
      </c>
      <c r="G17" s="3"/>
    </row>
    <row r="18" spans="1:7" ht="15.75" customHeight="1" x14ac:dyDescent="0.25">
      <c r="A18" s="3" t="s">
        <v>54</v>
      </c>
      <c r="B18" s="3" t="s">
        <v>46</v>
      </c>
      <c r="C18" s="3" t="s">
        <v>55</v>
      </c>
      <c r="D18" s="3">
        <v>160</v>
      </c>
      <c r="E18" s="3">
        <v>15</v>
      </c>
      <c r="F18" s="3" t="s">
        <v>9</v>
      </c>
      <c r="G18" s="3"/>
    </row>
    <row r="19" spans="1:7" ht="15.75" customHeight="1" x14ac:dyDescent="0.25">
      <c r="A19" s="4" t="s">
        <v>56</v>
      </c>
      <c r="B19" s="4" t="s">
        <v>7</v>
      </c>
      <c r="C19" s="4" t="s">
        <v>57</v>
      </c>
      <c r="D19" s="4">
        <v>980</v>
      </c>
      <c r="E19" s="4">
        <v>10</v>
      </c>
      <c r="F19" s="4" t="s">
        <v>9</v>
      </c>
      <c r="G19" s="3"/>
    </row>
    <row r="20" spans="1:7" ht="15.75" customHeight="1" x14ac:dyDescent="0.25">
      <c r="A20" s="3" t="s">
        <v>58</v>
      </c>
      <c r="B20" s="3" t="s">
        <v>59</v>
      </c>
      <c r="C20" s="3" t="s">
        <v>60</v>
      </c>
      <c r="D20" s="3">
        <v>150</v>
      </c>
      <c r="E20" s="3">
        <v>15</v>
      </c>
      <c r="F20" s="3" t="s">
        <v>13</v>
      </c>
      <c r="G20" s="3"/>
    </row>
    <row r="21" spans="1:7" ht="15.75" customHeight="1" x14ac:dyDescent="0.25">
      <c r="A21" s="4" t="s">
        <v>61</v>
      </c>
      <c r="B21" s="4" t="s">
        <v>62</v>
      </c>
      <c r="C21" s="4" t="s">
        <v>63</v>
      </c>
      <c r="D21" s="4">
        <v>200</v>
      </c>
      <c r="E21" s="4">
        <v>10</v>
      </c>
      <c r="F21" s="4" t="s">
        <v>24</v>
      </c>
      <c r="G21" s="3"/>
    </row>
    <row r="22" spans="1:7" ht="15.75" customHeight="1" x14ac:dyDescent="0.25">
      <c r="A22" s="3" t="s">
        <v>64</v>
      </c>
      <c r="B22" s="3" t="s">
        <v>65</v>
      </c>
      <c r="C22" s="3" t="s">
        <v>66</v>
      </c>
      <c r="D22" s="3">
        <v>700</v>
      </c>
      <c r="E22" s="3">
        <v>50</v>
      </c>
      <c r="F22" s="3" t="s">
        <v>9</v>
      </c>
      <c r="G22" s="3"/>
    </row>
    <row r="23" spans="1:7" ht="15.75" customHeight="1" x14ac:dyDescent="0.25">
      <c r="A23" s="4" t="s">
        <v>67</v>
      </c>
      <c r="B23" s="4" t="s">
        <v>68</v>
      </c>
      <c r="C23" s="4" t="s">
        <v>69</v>
      </c>
      <c r="D23" s="4">
        <v>80</v>
      </c>
      <c r="E23" s="4">
        <v>20</v>
      </c>
      <c r="F23" s="4" t="s">
        <v>17</v>
      </c>
      <c r="G23" s="3"/>
    </row>
    <row r="24" spans="1:7" ht="15.75" customHeight="1" x14ac:dyDescent="0.25">
      <c r="A24" s="3" t="s">
        <v>70</v>
      </c>
      <c r="B24" s="3" t="s">
        <v>71</v>
      </c>
      <c r="C24" s="3" t="s">
        <v>72</v>
      </c>
      <c r="D24" s="3">
        <v>150</v>
      </c>
      <c r="E24" s="3">
        <v>30</v>
      </c>
      <c r="F24" s="3" t="s">
        <v>9</v>
      </c>
      <c r="G24" s="3"/>
    </row>
    <row r="25" spans="1:7" ht="15.75" customHeight="1" x14ac:dyDescent="0.25">
      <c r="A25" s="4" t="s">
        <v>50</v>
      </c>
      <c r="B25" s="4" t="s">
        <v>51</v>
      </c>
      <c r="C25" s="4" t="s">
        <v>52</v>
      </c>
      <c r="D25" s="4">
        <v>50</v>
      </c>
      <c r="E25" s="4">
        <v>35</v>
      </c>
      <c r="F25" s="4" t="s">
        <v>53</v>
      </c>
      <c r="G25" s="5"/>
    </row>
    <row r="26" spans="1:7" ht="15.75" customHeight="1" x14ac:dyDescent="0.25">
      <c r="A26" s="3" t="s">
        <v>73</v>
      </c>
      <c r="B26" s="3" t="s">
        <v>19</v>
      </c>
      <c r="C26" s="3" t="s">
        <v>74</v>
      </c>
      <c r="D26" s="3">
        <v>800</v>
      </c>
      <c r="E26" s="3">
        <v>45</v>
      </c>
      <c r="F26" s="3" t="s">
        <v>9</v>
      </c>
      <c r="G26" s="3"/>
    </row>
    <row r="27" spans="1:7" ht="15.75" customHeight="1" x14ac:dyDescent="0.25">
      <c r="A27" s="4" t="s">
        <v>75</v>
      </c>
      <c r="B27" s="4" t="s">
        <v>59</v>
      </c>
      <c r="C27" s="4" t="s">
        <v>76</v>
      </c>
      <c r="D27" s="4">
        <v>130</v>
      </c>
      <c r="E27" s="4">
        <v>25</v>
      </c>
      <c r="F27" s="4" t="s">
        <v>13</v>
      </c>
      <c r="G27" s="3"/>
    </row>
    <row r="28" spans="1:7" ht="15.75" customHeight="1" x14ac:dyDescent="0.25">
      <c r="A28" s="3" t="s">
        <v>77</v>
      </c>
      <c r="B28" s="3" t="s">
        <v>32</v>
      </c>
      <c r="C28" s="3" t="s">
        <v>78</v>
      </c>
      <c r="D28" s="3">
        <v>400</v>
      </c>
      <c r="E28" s="3">
        <v>40</v>
      </c>
      <c r="F28" s="3" t="s">
        <v>17</v>
      </c>
      <c r="G28" s="3"/>
    </row>
    <row r="29" spans="1:7" ht="15.75" customHeight="1" x14ac:dyDescent="0.25">
      <c r="A29" s="4" t="s">
        <v>48</v>
      </c>
      <c r="B29" s="4" t="s">
        <v>26</v>
      </c>
      <c r="C29" s="4" t="s">
        <v>49</v>
      </c>
      <c r="D29" s="4">
        <v>230</v>
      </c>
      <c r="E29" s="4">
        <v>20</v>
      </c>
      <c r="F29" s="4" t="s">
        <v>9</v>
      </c>
      <c r="G29" s="5"/>
    </row>
    <row r="30" spans="1:7" ht="15.75" customHeight="1" x14ac:dyDescent="0.25">
      <c r="A30" s="3" t="s">
        <v>79</v>
      </c>
      <c r="B30" s="3" t="s">
        <v>80</v>
      </c>
      <c r="C30" s="3" t="s">
        <v>81</v>
      </c>
      <c r="D30" s="3">
        <v>60</v>
      </c>
      <c r="E30" s="3">
        <v>30</v>
      </c>
      <c r="F30" s="3" t="s">
        <v>13</v>
      </c>
      <c r="G30" s="3"/>
    </row>
    <row r="31" spans="1:7" ht="15.75" customHeight="1" x14ac:dyDescent="0.25">
      <c r="A31" s="4" t="s">
        <v>82</v>
      </c>
      <c r="B31" s="4" t="s">
        <v>83</v>
      </c>
      <c r="C31" s="4" t="s">
        <v>84</v>
      </c>
      <c r="D31" s="4">
        <v>40</v>
      </c>
      <c r="E31" s="4">
        <v>10</v>
      </c>
      <c r="F31" s="4" t="s">
        <v>17</v>
      </c>
      <c r="G31" s="3"/>
    </row>
    <row r="32" spans="1:7" ht="15.75" customHeight="1" x14ac:dyDescent="0.25">
      <c r="A32" s="3" t="s">
        <v>85</v>
      </c>
      <c r="B32" s="3" t="s">
        <v>71</v>
      </c>
      <c r="C32" s="3" t="s">
        <v>86</v>
      </c>
      <c r="D32" s="3">
        <v>130</v>
      </c>
      <c r="E32" s="3">
        <v>5</v>
      </c>
      <c r="F32" s="3" t="s">
        <v>9</v>
      </c>
      <c r="G32" s="3"/>
    </row>
    <row r="33" spans="1:7" ht="15.75" customHeight="1" x14ac:dyDescent="0.25">
      <c r="A33" s="4" t="s">
        <v>87</v>
      </c>
      <c r="B33" s="4" t="s">
        <v>88</v>
      </c>
      <c r="C33" s="4" t="s">
        <v>89</v>
      </c>
      <c r="D33" s="4">
        <v>50</v>
      </c>
      <c r="E33" s="4">
        <v>50</v>
      </c>
      <c r="F33" s="4" t="s">
        <v>13</v>
      </c>
      <c r="G33" s="3"/>
    </row>
    <row r="34" spans="1:7" ht="15.75" customHeight="1" x14ac:dyDescent="0.25">
      <c r="A34" s="3" t="s">
        <v>40</v>
      </c>
      <c r="B34" s="3" t="s">
        <v>7</v>
      </c>
      <c r="C34" s="3" t="s">
        <v>41</v>
      </c>
      <c r="D34" s="3">
        <v>950</v>
      </c>
      <c r="E34" s="3">
        <v>25</v>
      </c>
      <c r="F34" s="3" t="s">
        <v>9</v>
      </c>
      <c r="G34" s="3"/>
    </row>
    <row r="35" spans="1:7" ht="15.75" customHeight="1" x14ac:dyDescent="0.25">
      <c r="A35" s="4" t="s">
        <v>90</v>
      </c>
      <c r="B35" s="4" t="s">
        <v>91</v>
      </c>
      <c r="C35" s="4" t="s">
        <v>92</v>
      </c>
      <c r="D35" s="4">
        <v>100</v>
      </c>
      <c r="E35" s="4">
        <v>20</v>
      </c>
      <c r="F35" s="4" t="s">
        <v>53</v>
      </c>
      <c r="G35" s="3"/>
    </row>
    <row r="36" spans="1:7" ht="15.75" customHeight="1" x14ac:dyDescent="0.25"/>
    <row r="37" spans="1:7" ht="15.75" customHeight="1" x14ac:dyDescent="0.25"/>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A815-9869-4EA5-B417-E0B848405684}">
  <sheetPr>
    <tabColor theme="7" tint="0.39997558519241921"/>
  </sheetPr>
  <dimension ref="A1:O35"/>
  <sheetViews>
    <sheetView workbookViewId="0">
      <selection activeCell="I12" sqref="I12"/>
    </sheetView>
  </sheetViews>
  <sheetFormatPr defaultRowHeight="13.2" x14ac:dyDescent="0.25"/>
  <cols>
    <col min="1" max="1" width="14.33203125" customWidth="1"/>
    <col min="2" max="2" width="12.44140625" customWidth="1"/>
    <col min="3" max="3" width="13.77734375" customWidth="1"/>
    <col min="4" max="4" width="9.21875" customWidth="1"/>
    <col min="5" max="5" width="22.21875" customWidth="1"/>
    <col min="6" max="6" width="13.6640625" customWidth="1"/>
  </cols>
  <sheetData>
    <row r="1" spans="1:15" x14ac:dyDescent="0.25">
      <c r="A1" s="1" t="s">
        <v>0</v>
      </c>
      <c r="B1" s="1" t="s">
        <v>1</v>
      </c>
      <c r="C1" s="1" t="s">
        <v>1</v>
      </c>
      <c r="D1" s="1" t="s">
        <v>3</v>
      </c>
      <c r="E1" s="1" t="s">
        <v>4</v>
      </c>
      <c r="F1" s="1" t="s">
        <v>5</v>
      </c>
    </row>
    <row r="2" spans="1:15" x14ac:dyDescent="0.25">
      <c r="A2" s="3" t="s">
        <v>6</v>
      </c>
      <c r="B2" s="3" t="s">
        <v>7</v>
      </c>
      <c r="C2" s="3" t="s">
        <v>8</v>
      </c>
      <c r="D2" s="3">
        <v>1000</v>
      </c>
      <c r="E2" s="3">
        <v>30</v>
      </c>
      <c r="F2" s="3" t="s">
        <v>9</v>
      </c>
    </row>
    <row r="3" spans="1:15" x14ac:dyDescent="0.25">
      <c r="A3" s="4" t="s">
        <v>10</v>
      </c>
      <c r="B3" s="4" t="s">
        <v>11</v>
      </c>
      <c r="C3" s="4" t="s">
        <v>12</v>
      </c>
      <c r="D3" s="4">
        <v>80</v>
      </c>
      <c r="E3" s="4">
        <v>15</v>
      </c>
      <c r="F3" s="4" t="s">
        <v>13</v>
      </c>
    </row>
    <row r="4" spans="1:15" x14ac:dyDescent="0.25">
      <c r="A4" s="3" t="s">
        <v>14</v>
      </c>
      <c r="B4" s="3" t="s">
        <v>15</v>
      </c>
      <c r="C4" s="3" t="s">
        <v>16</v>
      </c>
      <c r="D4" s="3">
        <v>130</v>
      </c>
      <c r="E4" s="3">
        <v>40</v>
      </c>
      <c r="F4" s="3" t="s">
        <v>17</v>
      </c>
    </row>
    <row r="5" spans="1:15" x14ac:dyDescent="0.25">
      <c r="A5" s="4" t="s">
        <v>18</v>
      </c>
      <c r="B5" s="4" t="s">
        <v>19</v>
      </c>
      <c r="C5" s="4" t="s">
        <v>20</v>
      </c>
      <c r="D5" s="4">
        <v>900</v>
      </c>
      <c r="E5" s="4">
        <v>25</v>
      </c>
      <c r="F5" s="4" t="s">
        <v>9</v>
      </c>
    </row>
    <row r="6" spans="1:15" x14ac:dyDescent="0.25">
      <c r="A6" s="3" t="s">
        <v>21</v>
      </c>
      <c r="B6" s="3" t="s">
        <v>22</v>
      </c>
      <c r="C6" s="3" t="s">
        <v>23</v>
      </c>
      <c r="D6" s="3">
        <v>70</v>
      </c>
      <c r="E6" s="3">
        <v>20</v>
      </c>
      <c r="F6" s="3" t="s">
        <v>24</v>
      </c>
      <c r="I6" s="6" t="s">
        <v>95</v>
      </c>
      <c r="O6">
        <f>SUM(D2:D37)</f>
        <v>10100</v>
      </c>
    </row>
    <row r="7" spans="1:15" x14ac:dyDescent="0.25">
      <c r="A7" s="4" t="s">
        <v>25</v>
      </c>
      <c r="B7" s="4" t="s">
        <v>26</v>
      </c>
      <c r="C7" s="4" t="s">
        <v>27</v>
      </c>
      <c r="D7" s="4">
        <v>200</v>
      </c>
      <c r="E7" s="4">
        <v>45</v>
      </c>
      <c r="F7" s="4" t="s">
        <v>9</v>
      </c>
    </row>
    <row r="8" spans="1:15" x14ac:dyDescent="0.25">
      <c r="A8" s="3" t="s">
        <v>28</v>
      </c>
      <c r="B8" s="3" t="s">
        <v>29</v>
      </c>
      <c r="C8" s="3" t="s">
        <v>30</v>
      </c>
      <c r="D8" s="3">
        <v>30</v>
      </c>
      <c r="E8" s="3">
        <v>5</v>
      </c>
      <c r="F8" s="3" t="s">
        <v>13</v>
      </c>
      <c r="I8" s="6" t="s">
        <v>96</v>
      </c>
      <c r="O8">
        <f>COUNTA(B2:B350)</f>
        <v>34</v>
      </c>
    </row>
    <row r="9" spans="1:15" x14ac:dyDescent="0.25">
      <c r="A9" s="4" t="s">
        <v>31</v>
      </c>
      <c r="B9" s="4" t="s">
        <v>32</v>
      </c>
      <c r="C9" s="4" t="s">
        <v>33</v>
      </c>
      <c r="D9" s="4">
        <v>90</v>
      </c>
      <c r="E9" s="4">
        <v>35</v>
      </c>
      <c r="F9" s="4" t="s">
        <v>17</v>
      </c>
    </row>
    <row r="10" spans="1:15" x14ac:dyDescent="0.25">
      <c r="A10" s="3" t="s">
        <v>34</v>
      </c>
      <c r="B10" s="3" t="s">
        <v>35</v>
      </c>
      <c r="C10" s="3" t="s">
        <v>36</v>
      </c>
      <c r="D10" s="3">
        <v>500</v>
      </c>
      <c r="E10" s="3">
        <v>50</v>
      </c>
      <c r="F10" s="3" t="s">
        <v>9</v>
      </c>
      <c r="I10" s="6" t="s">
        <v>97</v>
      </c>
      <c r="O10">
        <f>AVERAGE(D2:D35)</f>
        <v>297.05882352941177</v>
      </c>
    </row>
    <row r="11" spans="1:15" x14ac:dyDescent="0.25">
      <c r="A11" s="4" t="s">
        <v>37</v>
      </c>
      <c r="B11" s="4" t="s">
        <v>38</v>
      </c>
      <c r="C11" s="4" t="s">
        <v>39</v>
      </c>
      <c r="D11" s="4">
        <v>130</v>
      </c>
      <c r="E11" s="4">
        <v>10</v>
      </c>
      <c r="F11" s="4" t="s">
        <v>24</v>
      </c>
    </row>
    <row r="12" spans="1:15" x14ac:dyDescent="0.25">
      <c r="A12" s="3" t="s">
        <v>40</v>
      </c>
      <c r="B12" s="3" t="s">
        <v>7</v>
      </c>
      <c r="C12" s="3" t="s">
        <v>41</v>
      </c>
      <c r="D12" s="3">
        <v>950</v>
      </c>
      <c r="E12" s="3">
        <v>25</v>
      </c>
      <c r="F12" s="3" t="s">
        <v>9</v>
      </c>
    </row>
    <row r="13" spans="1:15" x14ac:dyDescent="0.25">
      <c r="A13" s="4" t="s">
        <v>42</v>
      </c>
      <c r="B13" s="4" t="s">
        <v>11</v>
      </c>
      <c r="C13" s="4" t="s">
        <v>30</v>
      </c>
      <c r="D13" s="4">
        <v>90</v>
      </c>
      <c r="E13" s="4">
        <v>40</v>
      </c>
      <c r="F13" s="4" t="s">
        <v>13</v>
      </c>
    </row>
    <row r="14" spans="1:15" x14ac:dyDescent="0.25">
      <c r="A14" s="3" t="s">
        <v>43</v>
      </c>
      <c r="B14" s="3" t="s">
        <v>15</v>
      </c>
      <c r="C14" s="3" t="s">
        <v>44</v>
      </c>
      <c r="D14" s="3">
        <v>120</v>
      </c>
      <c r="E14" s="3">
        <v>35</v>
      </c>
      <c r="F14" s="3" t="s">
        <v>17</v>
      </c>
    </row>
    <row r="15" spans="1:15" x14ac:dyDescent="0.25">
      <c r="A15" s="4" t="s">
        <v>45</v>
      </c>
      <c r="B15" s="4" t="s">
        <v>46</v>
      </c>
      <c r="C15" s="4" t="s">
        <v>47</v>
      </c>
      <c r="D15" s="4">
        <v>150</v>
      </c>
      <c r="E15" s="4">
        <v>15</v>
      </c>
      <c r="F15" s="4" t="s">
        <v>9</v>
      </c>
    </row>
    <row r="16" spans="1:15"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3A29-6BDB-4FFC-AA44-F2A4CFAC2158}">
  <dimension ref="A1:O35"/>
  <sheetViews>
    <sheetView workbookViewId="0">
      <selection activeCell="H36" sqref="H36"/>
    </sheetView>
  </sheetViews>
  <sheetFormatPr defaultRowHeight="13.2" x14ac:dyDescent="0.25"/>
  <cols>
    <col min="1" max="1" width="11.44140625" customWidth="1"/>
    <col min="2" max="2" width="11.5546875" customWidth="1"/>
    <col min="3" max="3" width="11.44140625" customWidth="1"/>
    <col min="6" max="6" width="12.21875" customWidth="1"/>
    <col min="7" max="7" width="11.21875" customWidth="1"/>
  </cols>
  <sheetData>
    <row r="1" spans="1:15" x14ac:dyDescent="0.25">
      <c r="A1" s="1" t="s">
        <v>0</v>
      </c>
      <c r="B1" s="1" t="s">
        <v>1</v>
      </c>
      <c r="C1" s="1" t="s">
        <v>1</v>
      </c>
      <c r="D1" s="1" t="s">
        <v>3</v>
      </c>
      <c r="E1" s="1" t="s">
        <v>4</v>
      </c>
      <c r="F1" s="1" t="s">
        <v>5</v>
      </c>
      <c r="G1" s="8" t="s">
        <v>100</v>
      </c>
    </row>
    <row r="2" spans="1:15" x14ac:dyDescent="0.25">
      <c r="A2" s="3" t="s">
        <v>6</v>
      </c>
      <c r="B2" s="3" t="s">
        <v>7</v>
      </c>
      <c r="C2" s="3" t="s">
        <v>8</v>
      </c>
      <c r="D2" s="3">
        <v>1000</v>
      </c>
      <c r="E2" s="3">
        <v>30</v>
      </c>
      <c r="F2" s="3" t="s">
        <v>9</v>
      </c>
      <c r="G2" s="9" t="s">
        <v>101</v>
      </c>
    </row>
    <row r="3" spans="1:15" x14ac:dyDescent="0.25">
      <c r="A3" s="4" t="s">
        <v>10</v>
      </c>
      <c r="B3" s="4" t="s">
        <v>11</v>
      </c>
      <c r="C3" s="4" t="s">
        <v>12</v>
      </c>
      <c r="D3" s="4">
        <v>80</v>
      </c>
      <c r="E3" s="4">
        <v>15</v>
      </c>
      <c r="F3" s="4" t="s">
        <v>13</v>
      </c>
      <c r="G3" s="10" t="s">
        <v>102</v>
      </c>
    </row>
    <row r="4" spans="1:15" x14ac:dyDescent="0.25">
      <c r="A4" s="3" t="s">
        <v>14</v>
      </c>
      <c r="B4" s="3" t="s">
        <v>15</v>
      </c>
      <c r="C4" s="3" t="s">
        <v>16</v>
      </c>
      <c r="D4" s="3">
        <v>130</v>
      </c>
      <c r="E4" s="3">
        <v>40</v>
      </c>
      <c r="F4" s="3" t="s">
        <v>17</v>
      </c>
    </row>
    <row r="5" spans="1:15" x14ac:dyDescent="0.25">
      <c r="A5" s="4" t="s">
        <v>18</v>
      </c>
      <c r="B5" s="4" t="s">
        <v>19</v>
      </c>
      <c r="C5" s="4" t="s">
        <v>20</v>
      </c>
      <c r="D5" s="4">
        <v>900</v>
      </c>
      <c r="E5" s="4">
        <v>25</v>
      </c>
      <c r="F5" s="4" t="s">
        <v>9</v>
      </c>
    </row>
    <row r="6" spans="1:15" x14ac:dyDescent="0.25">
      <c r="A6" s="3" t="s">
        <v>21</v>
      </c>
      <c r="B6" s="3" t="s">
        <v>22</v>
      </c>
      <c r="C6" s="3" t="s">
        <v>23</v>
      </c>
      <c r="D6" s="3">
        <v>70</v>
      </c>
      <c r="E6" s="3">
        <v>20</v>
      </c>
      <c r="F6" s="3" t="s">
        <v>24</v>
      </c>
    </row>
    <row r="7" spans="1:15" x14ac:dyDescent="0.25">
      <c r="A7" s="4" t="s">
        <v>25</v>
      </c>
      <c r="B7" s="4" t="s">
        <v>26</v>
      </c>
      <c r="C7" s="4" t="s">
        <v>27</v>
      </c>
      <c r="D7" s="4">
        <v>200</v>
      </c>
      <c r="E7" s="4">
        <v>45</v>
      </c>
      <c r="F7" s="4" t="s">
        <v>9</v>
      </c>
      <c r="I7" s="7"/>
      <c r="J7" s="7"/>
      <c r="K7" s="7"/>
      <c r="L7" s="7"/>
      <c r="M7" s="7"/>
    </row>
    <row r="8" spans="1:15" x14ac:dyDescent="0.25">
      <c r="A8" s="3" t="s">
        <v>28</v>
      </c>
      <c r="B8" s="3" t="s">
        <v>29</v>
      </c>
      <c r="C8" s="3" t="s">
        <v>30</v>
      </c>
      <c r="D8" s="3">
        <v>30</v>
      </c>
      <c r="E8" s="3">
        <v>5</v>
      </c>
      <c r="F8" s="3" t="s">
        <v>13</v>
      </c>
      <c r="J8" t="s">
        <v>99</v>
      </c>
      <c r="O8">
        <f>MIN(D2:D35)</f>
        <v>30</v>
      </c>
    </row>
    <row r="9" spans="1:15" x14ac:dyDescent="0.25">
      <c r="A9" s="4" t="s">
        <v>31</v>
      </c>
      <c r="B9" s="4" t="s">
        <v>32</v>
      </c>
      <c r="C9" s="4" t="s">
        <v>33</v>
      </c>
      <c r="D9" s="4">
        <v>90</v>
      </c>
      <c r="E9" s="4">
        <v>35</v>
      </c>
      <c r="F9" s="4" t="s">
        <v>17</v>
      </c>
      <c r="J9" t="s">
        <v>98</v>
      </c>
      <c r="O9">
        <f>MAX(D2:D35)</f>
        <v>1000</v>
      </c>
    </row>
    <row r="10" spans="1:15" x14ac:dyDescent="0.25">
      <c r="A10" s="3" t="s">
        <v>34</v>
      </c>
      <c r="B10" s="3" t="s">
        <v>35</v>
      </c>
      <c r="C10" s="3" t="s">
        <v>36</v>
      </c>
      <c r="D10" s="3">
        <v>500</v>
      </c>
      <c r="E10" s="3">
        <v>50</v>
      </c>
      <c r="F10" s="3" t="s">
        <v>9</v>
      </c>
    </row>
    <row r="11" spans="1:15" x14ac:dyDescent="0.25">
      <c r="A11" s="4" t="s">
        <v>37</v>
      </c>
      <c r="B11" s="4" t="s">
        <v>38</v>
      </c>
      <c r="C11" s="4" t="s">
        <v>39</v>
      </c>
      <c r="D11" s="4">
        <v>130</v>
      </c>
      <c r="E11" s="4">
        <v>10</v>
      </c>
      <c r="F11" s="4" t="s">
        <v>24</v>
      </c>
    </row>
    <row r="12" spans="1:15" x14ac:dyDescent="0.25">
      <c r="A12" s="3" t="s">
        <v>40</v>
      </c>
      <c r="B12" s="3" t="s">
        <v>7</v>
      </c>
      <c r="C12" s="3" t="s">
        <v>41</v>
      </c>
      <c r="D12" s="3">
        <v>950</v>
      </c>
      <c r="E12" s="3">
        <v>25</v>
      </c>
      <c r="F12" s="3" t="s">
        <v>9</v>
      </c>
    </row>
    <row r="13" spans="1:15" x14ac:dyDescent="0.25">
      <c r="A13" s="4" t="s">
        <v>42</v>
      </c>
      <c r="B13" s="4" t="s">
        <v>11</v>
      </c>
      <c r="C13" s="4" t="s">
        <v>30</v>
      </c>
      <c r="D13" s="4">
        <v>90</v>
      </c>
      <c r="E13" s="4">
        <v>40</v>
      </c>
      <c r="F13" s="4" t="s">
        <v>13</v>
      </c>
    </row>
    <row r="14" spans="1:15" x14ac:dyDescent="0.25">
      <c r="A14" s="3" t="s">
        <v>43</v>
      </c>
      <c r="B14" s="3" t="s">
        <v>15</v>
      </c>
      <c r="C14" s="3" t="s">
        <v>44</v>
      </c>
      <c r="D14" s="3">
        <v>120</v>
      </c>
      <c r="E14" s="3">
        <v>35</v>
      </c>
      <c r="F14" s="3" t="s">
        <v>17</v>
      </c>
    </row>
    <row r="15" spans="1:15" x14ac:dyDescent="0.25">
      <c r="A15" s="4" t="s">
        <v>45</v>
      </c>
      <c r="B15" s="4" t="s">
        <v>46</v>
      </c>
      <c r="C15" s="4" t="s">
        <v>47</v>
      </c>
      <c r="D15" s="4">
        <v>150</v>
      </c>
      <c r="E15" s="4">
        <v>15</v>
      </c>
      <c r="F15" s="4" t="s">
        <v>9</v>
      </c>
    </row>
    <row r="16" spans="1:15"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F999-9A5F-471A-9F4E-C54486BDD1C6}">
  <dimension ref="A1:J35"/>
  <sheetViews>
    <sheetView workbookViewId="0">
      <selection activeCell="J10" sqref="J10"/>
    </sheetView>
  </sheetViews>
  <sheetFormatPr defaultRowHeight="13.2" x14ac:dyDescent="0.25"/>
  <cols>
    <col min="6" max="6" width="10.77734375" customWidth="1"/>
    <col min="7" max="7" width="13.6640625" customWidth="1"/>
  </cols>
  <sheetData>
    <row r="1" spans="1:10" x14ac:dyDescent="0.25">
      <c r="A1" s="1" t="s">
        <v>0</v>
      </c>
      <c r="B1" s="1" t="s">
        <v>1</v>
      </c>
      <c r="C1" s="1" t="s">
        <v>1</v>
      </c>
      <c r="D1" s="1" t="s">
        <v>3</v>
      </c>
      <c r="E1" s="1" t="s">
        <v>4</v>
      </c>
      <c r="F1" s="1" t="s">
        <v>5</v>
      </c>
      <c r="G1" s="1" t="s">
        <v>100</v>
      </c>
    </row>
    <row r="2" spans="1:10" x14ac:dyDescent="0.25">
      <c r="A2" s="3" t="s">
        <v>6</v>
      </c>
      <c r="B2" s="3" t="s">
        <v>7</v>
      </c>
      <c r="C2" s="3" t="s">
        <v>8</v>
      </c>
      <c r="D2" s="3">
        <v>1000</v>
      </c>
      <c r="E2" s="3">
        <v>30</v>
      </c>
      <c r="F2" s="3" t="s">
        <v>9</v>
      </c>
      <c r="G2" s="11" t="str">
        <f>IF(D2&gt;=500,"high price","standard price")</f>
        <v>high price</v>
      </c>
    </row>
    <row r="3" spans="1:10" ht="13.8" x14ac:dyDescent="0.25">
      <c r="A3" s="4" t="s">
        <v>10</v>
      </c>
      <c r="B3" s="4" t="s">
        <v>11</v>
      </c>
      <c r="C3" s="4" t="s">
        <v>12</v>
      </c>
      <c r="D3" s="4">
        <v>80</v>
      </c>
      <c r="E3" s="4">
        <v>15</v>
      </c>
      <c r="F3" s="4" t="s">
        <v>13</v>
      </c>
      <c r="G3" s="12" t="str">
        <f>IF(D3&gt;=500,"high price","standard price")</f>
        <v>standard price</v>
      </c>
    </row>
    <row r="4" spans="1:10" x14ac:dyDescent="0.25">
      <c r="A4" s="3" t="s">
        <v>14</v>
      </c>
      <c r="B4" s="3" t="s">
        <v>15</v>
      </c>
      <c r="C4" s="3" t="s">
        <v>16</v>
      </c>
      <c r="D4" s="3">
        <v>130</v>
      </c>
      <c r="E4" s="3">
        <v>40</v>
      </c>
      <c r="F4" s="3" t="s">
        <v>17</v>
      </c>
      <c r="G4" t="str">
        <f>IF(D4&gt;=500,"high price","standard price")</f>
        <v>standard price</v>
      </c>
    </row>
    <row r="5" spans="1:10" x14ac:dyDescent="0.25">
      <c r="A5" s="4" t="s">
        <v>18</v>
      </c>
      <c r="B5" s="4" t="s">
        <v>19</v>
      </c>
      <c r="C5" s="4" t="s">
        <v>20</v>
      </c>
      <c r="D5" s="4">
        <v>900</v>
      </c>
      <c r="E5" s="4">
        <v>25</v>
      </c>
      <c r="F5" s="4" t="s">
        <v>9</v>
      </c>
      <c r="G5" t="str">
        <f>IF(D5&gt;=500,"high price","standard price")</f>
        <v>high price</v>
      </c>
    </row>
    <row r="6" spans="1:10" x14ac:dyDescent="0.25">
      <c r="A6" s="3" t="s">
        <v>21</v>
      </c>
      <c r="B6" s="3" t="s">
        <v>22</v>
      </c>
      <c r="C6" s="3" t="s">
        <v>23</v>
      </c>
      <c r="D6" s="3">
        <v>70</v>
      </c>
      <c r="E6" s="3">
        <v>20</v>
      </c>
      <c r="F6" s="3" t="s">
        <v>24</v>
      </c>
      <c r="G6" t="str">
        <f>IF(D6&gt;=500,"high price","standard price")</f>
        <v>standard price</v>
      </c>
    </row>
    <row r="7" spans="1:10" x14ac:dyDescent="0.25">
      <c r="A7" s="4" t="s">
        <v>25</v>
      </c>
      <c r="B7" s="4" t="s">
        <v>26</v>
      </c>
      <c r="C7" s="4" t="s">
        <v>27</v>
      </c>
      <c r="D7" s="4">
        <v>200</v>
      </c>
      <c r="E7" s="4">
        <v>45</v>
      </c>
      <c r="F7" s="4" t="s">
        <v>9</v>
      </c>
      <c r="G7" t="str">
        <f>IF(D7&gt;=500,"high price","standard price")</f>
        <v>standard price</v>
      </c>
      <c r="J7" s="6" t="s">
        <v>117</v>
      </c>
    </row>
    <row r="8" spans="1:10" x14ac:dyDescent="0.25">
      <c r="A8" s="3" t="s">
        <v>28</v>
      </c>
      <c r="B8" s="3" t="s">
        <v>29</v>
      </c>
      <c r="C8" s="3" t="s">
        <v>30</v>
      </c>
      <c r="D8" s="3">
        <v>30</v>
      </c>
      <c r="E8" s="3">
        <v>5</v>
      </c>
      <c r="F8" s="3" t="s">
        <v>13</v>
      </c>
      <c r="G8" t="str">
        <f>IF(D8&gt;=500,"high price","standard price")</f>
        <v>standard price</v>
      </c>
      <c r="J8" s="6" t="s">
        <v>118</v>
      </c>
    </row>
    <row r="9" spans="1:10" x14ac:dyDescent="0.25">
      <c r="A9" s="4" t="s">
        <v>31</v>
      </c>
      <c r="B9" s="4" t="s">
        <v>32</v>
      </c>
      <c r="C9" s="4" t="s">
        <v>33</v>
      </c>
      <c r="D9" s="4">
        <v>90</v>
      </c>
      <c r="E9" s="4">
        <v>35</v>
      </c>
      <c r="F9" s="4" t="s">
        <v>17</v>
      </c>
      <c r="G9" t="str">
        <f>IF(D9&gt;=500,"high price","standard price")</f>
        <v>standard price</v>
      </c>
      <c r="J9" s="6" t="s">
        <v>118</v>
      </c>
    </row>
    <row r="10" spans="1:10" x14ac:dyDescent="0.25">
      <c r="A10" s="3" t="s">
        <v>34</v>
      </c>
      <c r="B10" s="3" t="s">
        <v>35</v>
      </c>
      <c r="C10" s="3" t="s">
        <v>36</v>
      </c>
      <c r="D10" s="3">
        <v>500</v>
      </c>
      <c r="E10" s="3">
        <v>50</v>
      </c>
      <c r="F10" s="3" t="s">
        <v>9</v>
      </c>
      <c r="G10" t="str">
        <f>IF(D10&gt;=500,"high price","standard price")</f>
        <v>high price</v>
      </c>
    </row>
    <row r="11" spans="1:10" x14ac:dyDescent="0.25">
      <c r="A11" s="4" t="s">
        <v>37</v>
      </c>
      <c r="B11" s="4" t="s">
        <v>38</v>
      </c>
      <c r="C11" s="4" t="s">
        <v>39</v>
      </c>
      <c r="D11" s="4">
        <v>130</v>
      </c>
      <c r="E11" s="4">
        <v>10</v>
      </c>
      <c r="F11" s="4" t="s">
        <v>24</v>
      </c>
      <c r="G11" t="str">
        <f>IF(D11&gt;=500,"high price","standard price")</f>
        <v>standard price</v>
      </c>
    </row>
    <row r="12" spans="1:10" x14ac:dyDescent="0.25">
      <c r="A12" s="3" t="s">
        <v>40</v>
      </c>
      <c r="B12" s="3" t="s">
        <v>7</v>
      </c>
      <c r="C12" s="3" t="s">
        <v>41</v>
      </c>
      <c r="D12" s="3">
        <v>950</v>
      </c>
      <c r="E12" s="3">
        <v>25</v>
      </c>
      <c r="F12" s="3" t="s">
        <v>9</v>
      </c>
      <c r="G12" t="str">
        <f>IF(D2:D35&gt;=500,"high price","standard price")</f>
        <v>high price</v>
      </c>
    </row>
    <row r="13" spans="1:10" x14ac:dyDescent="0.25">
      <c r="A13" s="4" t="s">
        <v>42</v>
      </c>
      <c r="B13" s="4" t="s">
        <v>11</v>
      </c>
      <c r="C13" s="4" t="s">
        <v>30</v>
      </c>
      <c r="D13" s="4">
        <v>90</v>
      </c>
      <c r="E13" s="4">
        <v>40</v>
      </c>
      <c r="F13" s="4" t="s">
        <v>13</v>
      </c>
      <c r="G13" t="str">
        <f>IF(D2:D35&gt;=500,"high price","standard price")</f>
        <v>standard price</v>
      </c>
    </row>
    <row r="14" spans="1:10" x14ac:dyDescent="0.25">
      <c r="A14" s="3" t="s">
        <v>43</v>
      </c>
      <c r="B14" s="3" t="s">
        <v>15</v>
      </c>
      <c r="C14" s="3" t="s">
        <v>44</v>
      </c>
      <c r="D14" s="3">
        <v>120</v>
      </c>
      <c r="E14" s="3">
        <v>35</v>
      </c>
      <c r="F14" s="3" t="s">
        <v>17</v>
      </c>
      <c r="G14" t="str">
        <f>IF(D14&gt;=500,"high price","standard price")</f>
        <v>standard price</v>
      </c>
    </row>
    <row r="15" spans="1:10" x14ac:dyDescent="0.25">
      <c r="A15" s="4" t="s">
        <v>45</v>
      </c>
      <c r="B15" s="4" t="s">
        <v>46</v>
      </c>
      <c r="C15" s="4" t="s">
        <v>47</v>
      </c>
      <c r="D15" s="4">
        <v>150</v>
      </c>
      <c r="E15" s="4">
        <v>15</v>
      </c>
      <c r="F15" s="4" t="s">
        <v>9</v>
      </c>
      <c r="G15" t="str">
        <f>IF(D15&gt;=500,"high price","standard price")</f>
        <v>standard price</v>
      </c>
    </row>
    <row r="16" spans="1:10" x14ac:dyDescent="0.25">
      <c r="A16" s="3" t="s">
        <v>48</v>
      </c>
      <c r="B16" s="3" t="s">
        <v>26</v>
      </c>
      <c r="C16" s="3" t="s">
        <v>49</v>
      </c>
      <c r="D16" s="3">
        <v>250</v>
      </c>
      <c r="E16" s="3">
        <v>20</v>
      </c>
      <c r="F16" s="3" t="s">
        <v>9</v>
      </c>
      <c r="G16" t="str">
        <f>IF(D16&gt;=500,"high price","standard price")</f>
        <v>standard price</v>
      </c>
    </row>
    <row r="17" spans="1:7" x14ac:dyDescent="0.25">
      <c r="A17" s="4" t="s">
        <v>50</v>
      </c>
      <c r="B17" s="4" t="s">
        <v>51</v>
      </c>
      <c r="C17" s="4" t="s">
        <v>52</v>
      </c>
      <c r="D17" s="4">
        <v>50</v>
      </c>
      <c r="E17" s="4">
        <v>35</v>
      </c>
      <c r="F17" s="4" t="s">
        <v>53</v>
      </c>
      <c r="G17" t="str">
        <f>IF(D17&gt;=500,"high price","standard price")</f>
        <v>standard price</v>
      </c>
    </row>
    <row r="18" spans="1:7" x14ac:dyDescent="0.25">
      <c r="A18" s="3" t="s">
        <v>54</v>
      </c>
      <c r="B18" s="3" t="s">
        <v>46</v>
      </c>
      <c r="C18" s="3" t="s">
        <v>55</v>
      </c>
      <c r="D18" s="3">
        <v>160</v>
      </c>
      <c r="E18" s="3">
        <v>15</v>
      </c>
      <c r="F18" s="3" t="s">
        <v>9</v>
      </c>
      <c r="G18" t="str">
        <f>IF(D18&gt;=500,"high price","standard price")</f>
        <v>standard price</v>
      </c>
    </row>
    <row r="19" spans="1:7" x14ac:dyDescent="0.25">
      <c r="A19" s="4" t="s">
        <v>56</v>
      </c>
      <c r="B19" s="4" t="s">
        <v>7</v>
      </c>
      <c r="C19" s="4" t="s">
        <v>57</v>
      </c>
      <c r="D19" s="4">
        <v>980</v>
      </c>
      <c r="E19" s="4">
        <v>10</v>
      </c>
      <c r="F19" s="4" t="s">
        <v>9</v>
      </c>
      <c r="G19" t="str">
        <f>IF(D19&gt;=500,"high price","standard price")</f>
        <v>high price</v>
      </c>
    </row>
    <row r="20" spans="1:7" x14ac:dyDescent="0.25">
      <c r="A20" s="3" t="s">
        <v>58</v>
      </c>
      <c r="B20" s="3" t="s">
        <v>59</v>
      </c>
      <c r="C20" s="3" t="s">
        <v>60</v>
      </c>
      <c r="D20" s="3">
        <v>150</v>
      </c>
      <c r="E20" s="3">
        <v>15</v>
      </c>
      <c r="F20" s="3" t="s">
        <v>13</v>
      </c>
      <c r="G20" t="str">
        <f>IF(D20&gt;=500,"high price","standard price")</f>
        <v>standard price</v>
      </c>
    </row>
    <row r="21" spans="1:7" x14ac:dyDescent="0.25">
      <c r="A21" s="4" t="s">
        <v>61</v>
      </c>
      <c r="B21" s="4" t="s">
        <v>62</v>
      </c>
      <c r="C21" s="4" t="s">
        <v>63</v>
      </c>
      <c r="D21" s="4">
        <v>200</v>
      </c>
      <c r="E21" s="4">
        <v>10</v>
      </c>
      <c r="F21" s="4" t="s">
        <v>24</v>
      </c>
      <c r="G21" t="str">
        <f>IF(D21&gt;=500,"high price","standard price")</f>
        <v>standard price</v>
      </c>
    </row>
    <row r="22" spans="1:7" x14ac:dyDescent="0.25">
      <c r="A22" s="3" t="s">
        <v>64</v>
      </c>
      <c r="B22" s="3" t="s">
        <v>65</v>
      </c>
      <c r="C22" s="3" t="s">
        <v>66</v>
      </c>
      <c r="D22" s="3">
        <v>700</v>
      </c>
      <c r="E22" s="3">
        <v>50</v>
      </c>
      <c r="F22" s="3" t="s">
        <v>9</v>
      </c>
      <c r="G22" t="str">
        <f>IF(D22&gt;=500,"high price","standard price")</f>
        <v>high price</v>
      </c>
    </row>
    <row r="23" spans="1:7" x14ac:dyDescent="0.25">
      <c r="A23" s="4" t="s">
        <v>67</v>
      </c>
      <c r="B23" s="4" t="s">
        <v>68</v>
      </c>
      <c r="C23" s="4" t="s">
        <v>69</v>
      </c>
      <c r="D23" s="4">
        <v>80</v>
      </c>
      <c r="E23" s="4">
        <v>20</v>
      </c>
      <c r="F23" s="4" t="s">
        <v>17</v>
      </c>
      <c r="G23" t="str">
        <f>IF(D23&gt;=500,"high price","standard price")</f>
        <v>standard price</v>
      </c>
    </row>
    <row r="24" spans="1:7" x14ac:dyDescent="0.25">
      <c r="A24" s="3" t="s">
        <v>70</v>
      </c>
      <c r="B24" s="3" t="s">
        <v>71</v>
      </c>
      <c r="C24" s="3" t="s">
        <v>72</v>
      </c>
      <c r="D24" s="3">
        <v>150</v>
      </c>
      <c r="E24" s="3">
        <v>30</v>
      </c>
      <c r="F24" s="3" t="s">
        <v>9</v>
      </c>
      <c r="G24" t="str">
        <f>IF(D24&gt;=500,"high price","standard price")</f>
        <v>standard price</v>
      </c>
    </row>
    <row r="25" spans="1:7" x14ac:dyDescent="0.25">
      <c r="A25" s="4" t="s">
        <v>50</v>
      </c>
      <c r="B25" s="4" t="s">
        <v>51</v>
      </c>
      <c r="C25" s="4" t="s">
        <v>52</v>
      </c>
      <c r="D25" s="4">
        <v>50</v>
      </c>
      <c r="E25" s="4">
        <v>35</v>
      </c>
      <c r="F25" s="4" t="s">
        <v>53</v>
      </c>
      <c r="G25" t="str">
        <f>IF(D25&gt;=500,"high price","standard price")</f>
        <v>standard price</v>
      </c>
    </row>
    <row r="26" spans="1:7" x14ac:dyDescent="0.25">
      <c r="A26" s="3" t="s">
        <v>73</v>
      </c>
      <c r="B26" s="3" t="s">
        <v>19</v>
      </c>
      <c r="C26" s="3" t="s">
        <v>74</v>
      </c>
      <c r="D26" s="3">
        <v>800</v>
      </c>
      <c r="E26" s="3">
        <v>45</v>
      </c>
      <c r="F26" s="3" t="s">
        <v>9</v>
      </c>
      <c r="G26" t="str">
        <f>IF(D26&gt;=500,"high price","standard price")</f>
        <v>high price</v>
      </c>
    </row>
    <row r="27" spans="1:7" x14ac:dyDescent="0.25">
      <c r="A27" s="4" t="s">
        <v>75</v>
      </c>
      <c r="B27" s="4" t="s">
        <v>59</v>
      </c>
      <c r="C27" s="4" t="s">
        <v>76</v>
      </c>
      <c r="D27" s="4">
        <v>130</v>
      </c>
      <c r="E27" s="4">
        <v>25</v>
      </c>
      <c r="F27" s="4" t="s">
        <v>13</v>
      </c>
      <c r="G27" t="str">
        <f>IF(D27&gt;=500,"high price","standard price")</f>
        <v>standard price</v>
      </c>
    </row>
    <row r="28" spans="1:7" x14ac:dyDescent="0.25">
      <c r="A28" s="3" t="s">
        <v>77</v>
      </c>
      <c r="B28" s="3" t="s">
        <v>32</v>
      </c>
      <c r="C28" s="3" t="s">
        <v>78</v>
      </c>
      <c r="D28" s="3">
        <v>400</v>
      </c>
      <c r="E28" s="3">
        <v>40</v>
      </c>
      <c r="F28" s="3" t="s">
        <v>17</v>
      </c>
      <c r="G28" t="str">
        <f>IF(D28&gt;=500,"high price","standard price")</f>
        <v>standard price</v>
      </c>
    </row>
    <row r="29" spans="1:7" x14ac:dyDescent="0.25">
      <c r="A29" s="4" t="s">
        <v>48</v>
      </c>
      <c r="B29" s="4" t="s">
        <v>26</v>
      </c>
      <c r="C29" s="4" t="s">
        <v>49</v>
      </c>
      <c r="D29" s="4">
        <v>230</v>
      </c>
      <c r="E29" s="4">
        <v>20</v>
      </c>
      <c r="F29" s="4" t="s">
        <v>9</v>
      </c>
      <c r="G29" t="str">
        <f>IF(D29&gt;=500,"high price","standard price")</f>
        <v>standard price</v>
      </c>
    </row>
    <row r="30" spans="1:7" x14ac:dyDescent="0.25">
      <c r="A30" s="3" t="s">
        <v>79</v>
      </c>
      <c r="B30" s="3" t="s">
        <v>80</v>
      </c>
      <c r="C30" s="3" t="s">
        <v>81</v>
      </c>
      <c r="D30" s="3">
        <v>60</v>
      </c>
      <c r="E30" s="3">
        <v>30</v>
      </c>
      <c r="F30" s="3" t="s">
        <v>13</v>
      </c>
      <c r="G30" t="str">
        <f>IF(D30&gt;=500,"high price","standard price")</f>
        <v>standard price</v>
      </c>
    </row>
    <row r="31" spans="1:7" x14ac:dyDescent="0.25">
      <c r="A31" s="4" t="s">
        <v>82</v>
      </c>
      <c r="B31" s="4" t="s">
        <v>83</v>
      </c>
      <c r="C31" s="4" t="s">
        <v>84</v>
      </c>
      <c r="D31" s="4">
        <v>40</v>
      </c>
      <c r="E31" s="4">
        <v>10</v>
      </c>
      <c r="F31" s="4" t="s">
        <v>17</v>
      </c>
      <c r="G31" t="str">
        <f>IF(D31&gt;=500,"high price","standard price")</f>
        <v>standard price</v>
      </c>
    </row>
    <row r="32" spans="1:7" x14ac:dyDescent="0.25">
      <c r="A32" s="3" t="s">
        <v>85</v>
      </c>
      <c r="B32" s="3" t="s">
        <v>71</v>
      </c>
      <c r="C32" s="3" t="s">
        <v>86</v>
      </c>
      <c r="D32" s="3">
        <v>130</v>
      </c>
      <c r="E32" s="3">
        <v>5</v>
      </c>
      <c r="F32" s="3" t="s">
        <v>9</v>
      </c>
      <c r="G32" t="str">
        <f>IF(D32&gt;=500,"high price","standard price")</f>
        <v>standard price</v>
      </c>
    </row>
    <row r="33" spans="1:7" x14ac:dyDescent="0.25">
      <c r="A33" s="4" t="s">
        <v>87</v>
      </c>
      <c r="B33" s="4" t="s">
        <v>88</v>
      </c>
      <c r="C33" s="4" t="s">
        <v>89</v>
      </c>
      <c r="D33" s="4">
        <v>50</v>
      </c>
      <c r="E33" s="4">
        <v>50</v>
      </c>
      <c r="F33" s="4" t="s">
        <v>13</v>
      </c>
      <c r="G33" t="str">
        <f>IF(D33&gt;=500,"high price","standard price")</f>
        <v>standard price</v>
      </c>
    </row>
    <row r="34" spans="1:7" x14ac:dyDescent="0.25">
      <c r="A34" s="3" t="s">
        <v>40</v>
      </c>
      <c r="B34" s="3" t="s">
        <v>7</v>
      </c>
      <c r="C34" s="3" t="s">
        <v>41</v>
      </c>
      <c r="D34" s="3">
        <v>950</v>
      </c>
      <c r="E34" s="3">
        <v>25</v>
      </c>
      <c r="F34" s="3" t="s">
        <v>9</v>
      </c>
      <c r="G34" t="str">
        <f>IF(D34&gt;=500,"high price","standard price")</f>
        <v>high price</v>
      </c>
    </row>
    <row r="35" spans="1:7" x14ac:dyDescent="0.25">
      <c r="A35" s="4" t="s">
        <v>90</v>
      </c>
      <c r="B35" s="4" t="s">
        <v>91</v>
      </c>
      <c r="C35" s="4" t="s">
        <v>92</v>
      </c>
      <c r="D35" s="4">
        <v>100</v>
      </c>
      <c r="E35" s="4">
        <v>20</v>
      </c>
      <c r="F35" s="4" t="s">
        <v>53</v>
      </c>
      <c r="G35" t="str">
        <f>IF(D35&gt;=500,"high price","standard price")</f>
        <v>standard price</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3B1C-554A-4104-92D9-06C5B7A6203E}">
  <dimension ref="A1:Q35"/>
  <sheetViews>
    <sheetView workbookViewId="0">
      <selection sqref="A1:F35"/>
    </sheetView>
  </sheetViews>
  <sheetFormatPr defaultRowHeight="13.2" x14ac:dyDescent="0.25"/>
  <cols>
    <col min="1" max="1" width="12.77734375" customWidth="1"/>
    <col min="2" max="2" width="12.44140625" customWidth="1"/>
    <col min="3" max="3" width="12.33203125" customWidth="1"/>
    <col min="6" max="6" width="12" customWidth="1"/>
  </cols>
  <sheetData>
    <row r="1" spans="1:17" x14ac:dyDescent="0.25">
      <c r="A1" s="1" t="s">
        <v>0</v>
      </c>
      <c r="B1" s="1" t="s">
        <v>1</v>
      </c>
      <c r="C1" s="1" t="s">
        <v>1</v>
      </c>
      <c r="D1" s="1" t="s">
        <v>3</v>
      </c>
      <c r="E1" s="1" t="s">
        <v>4</v>
      </c>
      <c r="F1" s="1" t="s">
        <v>5</v>
      </c>
    </row>
    <row r="2" spans="1:17" x14ac:dyDescent="0.25">
      <c r="A2" s="3" t="s">
        <v>6</v>
      </c>
      <c r="B2" s="3" t="s">
        <v>7</v>
      </c>
      <c r="C2" s="3" t="s">
        <v>8</v>
      </c>
      <c r="D2" s="3">
        <v>1000</v>
      </c>
      <c r="E2" s="3">
        <v>30</v>
      </c>
      <c r="F2" s="3" t="s">
        <v>9</v>
      </c>
    </row>
    <row r="3" spans="1:17" x14ac:dyDescent="0.25">
      <c r="A3" s="4" t="s">
        <v>10</v>
      </c>
      <c r="B3" s="4" t="s">
        <v>11</v>
      </c>
      <c r="C3" s="4" t="s">
        <v>12</v>
      </c>
      <c r="D3" s="4">
        <v>80</v>
      </c>
      <c r="E3" s="4">
        <v>15</v>
      </c>
      <c r="F3" s="4" t="s">
        <v>13</v>
      </c>
    </row>
    <row r="4" spans="1:17" x14ac:dyDescent="0.25">
      <c r="A4" s="3" t="s">
        <v>14</v>
      </c>
      <c r="B4" s="3" t="s">
        <v>15</v>
      </c>
      <c r="C4" s="3" t="s">
        <v>16</v>
      </c>
      <c r="D4" s="3">
        <v>130</v>
      </c>
      <c r="E4" s="3">
        <v>40</v>
      </c>
      <c r="F4" s="3" t="s">
        <v>17</v>
      </c>
    </row>
    <row r="5" spans="1:17" x14ac:dyDescent="0.25">
      <c r="A5" s="4" t="s">
        <v>18</v>
      </c>
      <c r="B5" s="4" t="s">
        <v>19</v>
      </c>
      <c r="C5" s="4" t="s">
        <v>20</v>
      </c>
      <c r="D5" s="4">
        <v>900</v>
      </c>
      <c r="E5" s="4">
        <v>25</v>
      </c>
      <c r="F5" s="4" t="s">
        <v>9</v>
      </c>
    </row>
    <row r="6" spans="1:17" x14ac:dyDescent="0.25">
      <c r="A6" s="3" t="s">
        <v>21</v>
      </c>
      <c r="B6" s="3" t="s">
        <v>22</v>
      </c>
      <c r="C6" s="3" t="s">
        <v>23</v>
      </c>
      <c r="D6" s="3">
        <v>70</v>
      </c>
      <c r="E6" s="3">
        <v>20</v>
      </c>
      <c r="F6" s="3" t="s">
        <v>24</v>
      </c>
      <c r="H6" s="6" t="s">
        <v>103</v>
      </c>
      <c r="Q6">
        <f>SUMIF(F2:F35,"Electronics",D2:D35)</f>
        <v>8050</v>
      </c>
    </row>
    <row r="7" spans="1:17" x14ac:dyDescent="0.25">
      <c r="A7" s="4" t="s">
        <v>25</v>
      </c>
      <c r="B7" s="4" t="s">
        <v>26</v>
      </c>
      <c r="C7" s="4" t="s">
        <v>27</v>
      </c>
      <c r="D7" s="4">
        <v>200</v>
      </c>
      <c r="E7" s="4">
        <v>45</v>
      </c>
      <c r="F7" s="4" t="s">
        <v>9</v>
      </c>
    </row>
    <row r="8" spans="1:17" x14ac:dyDescent="0.25">
      <c r="A8" s="3" t="s">
        <v>28</v>
      </c>
      <c r="B8" s="3" t="s">
        <v>29</v>
      </c>
      <c r="C8" s="3" t="s">
        <v>30</v>
      </c>
      <c r="D8" s="3">
        <v>30</v>
      </c>
      <c r="E8" s="3">
        <v>5</v>
      </c>
      <c r="F8" s="3" t="s">
        <v>13</v>
      </c>
    </row>
    <row r="9" spans="1:17" x14ac:dyDescent="0.25">
      <c r="A9" s="4" t="s">
        <v>31</v>
      </c>
      <c r="B9" s="4" t="s">
        <v>32</v>
      </c>
      <c r="C9" s="4" t="s">
        <v>33</v>
      </c>
      <c r="D9" s="4">
        <v>90</v>
      </c>
      <c r="E9" s="4">
        <v>35</v>
      </c>
      <c r="F9" s="4" t="s">
        <v>17</v>
      </c>
      <c r="H9" s="6" t="s">
        <v>104</v>
      </c>
      <c r="Q9">
        <f>COUNTIF(D2:D35,"&lt;100")</f>
        <v>11</v>
      </c>
    </row>
    <row r="10" spans="1:17" x14ac:dyDescent="0.25">
      <c r="A10" s="3" t="s">
        <v>34</v>
      </c>
      <c r="B10" s="3" t="s">
        <v>35</v>
      </c>
      <c r="C10" s="3" t="s">
        <v>36</v>
      </c>
      <c r="D10" s="3">
        <v>500</v>
      </c>
      <c r="E10" s="3">
        <v>50</v>
      </c>
      <c r="F10" s="3" t="s">
        <v>9</v>
      </c>
    </row>
    <row r="11" spans="1:17" x14ac:dyDescent="0.25">
      <c r="A11" s="4" t="s">
        <v>37</v>
      </c>
      <c r="B11" s="4" t="s">
        <v>38</v>
      </c>
      <c r="C11" s="4" t="s">
        <v>39</v>
      </c>
      <c r="D11" s="4">
        <v>130</v>
      </c>
      <c r="E11" s="4">
        <v>10</v>
      </c>
      <c r="F11" s="4" t="s">
        <v>24</v>
      </c>
    </row>
    <row r="12" spans="1:17" x14ac:dyDescent="0.25">
      <c r="A12" s="3" t="s">
        <v>40</v>
      </c>
      <c r="B12" s="3" t="s">
        <v>7</v>
      </c>
      <c r="C12" s="3" t="s">
        <v>41</v>
      </c>
      <c r="D12" s="3">
        <v>950</v>
      </c>
      <c r="E12" s="3">
        <v>25</v>
      </c>
      <c r="F12" s="3" t="s">
        <v>9</v>
      </c>
    </row>
    <row r="13" spans="1:17" x14ac:dyDescent="0.25">
      <c r="A13" s="4" t="s">
        <v>42</v>
      </c>
      <c r="B13" s="4" t="s">
        <v>11</v>
      </c>
      <c r="C13" s="4" t="s">
        <v>30</v>
      </c>
      <c r="D13" s="4">
        <v>90</v>
      </c>
      <c r="E13" s="4">
        <v>40</v>
      </c>
      <c r="F13" s="4" t="s">
        <v>13</v>
      </c>
    </row>
    <row r="14" spans="1:17" x14ac:dyDescent="0.25">
      <c r="A14" s="3" t="s">
        <v>43</v>
      </c>
      <c r="B14" s="3" t="s">
        <v>15</v>
      </c>
      <c r="C14" s="3" t="s">
        <v>44</v>
      </c>
      <c r="D14" s="3">
        <v>120</v>
      </c>
      <c r="E14" s="3">
        <v>35</v>
      </c>
      <c r="F14" s="3" t="s">
        <v>17</v>
      </c>
    </row>
    <row r="15" spans="1:17" x14ac:dyDescent="0.25">
      <c r="A15" s="4" t="s">
        <v>45</v>
      </c>
      <c r="B15" s="4" t="s">
        <v>46</v>
      </c>
      <c r="C15" s="4" t="s">
        <v>47</v>
      </c>
      <c r="D15" s="4">
        <v>150</v>
      </c>
      <c r="E15" s="4">
        <v>15</v>
      </c>
      <c r="F15" s="4" t="s">
        <v>9</v>
      </c>
    </row>
    <row r="16" spans="1:17" x14ac:dyDescent="0.25">
      <c r="A16" s="3" t="s">
        <v>48</v>
      </c>
      <c r="B16" s="3" t="s">
        <v>26</v>
      </c>
      <c r="C16" s="3" t="s">
        <v>49</v>
      </c>
      <c r="D16" s="3">
        <v>250</v>
      </c>
      <c r="E16" s="3">
        <v>20</v>
      </c>
      <c r="F16" s="3" t="s">
        <v>9</v>
      </c>
    </row>
    <row r="17" spans="1:6" x14ac:dyDescent="0.25">
      <c r="A17" s="4" t="s">
        <v>50</v>
      </c>
      <c r="B17" s="4" t="s">
        <v>51</v>
      </c>
      <c r="C17" s="4" t="s">
        <v>52</v>
      </c>
      <c r="D17" s="4">
        <v>50</v>
      </c>
      <c r="E17" s="4">
        <v>35</v>
      </c>
      <c r="F17" s="4" t="s">
        <v>53</v>
      </c>
    </row>
    <row r="18" spans="1:6" x14ac:dyDescent="0.25">
      <c r="A18" s="3" t="s">
        <v>54</v>
      </c>
      <c r="B18" s="3" t="s">
        <v>46</v>
      </c>
      <c r="C18" s="3" t="s">
        <v>55</v>
      </c>
      <c r="D18" s="3">
        <v>160</v>
      </c>
      <c r="E18" s="3">
        <v>15</v>
      </c>
      <c r="F18" s="3" t="s">
        <v>9</v>
      </c>
    </row>
    <row r="19" spans="1:6" x14ac:dyDescent="0.25">
      <c r="A19" s="4" t="s">
        <v>56</v>
      </c>
      <c r="B19" s="4" t="s">
        <v>7</v>
      </c>
      <c r="C19" s="4" t="s">
        <v>57</v>
      </c>
      <c r="D19" s="4">
        <v>980</v>
      </c>
      <c r="E19" s="4">
        <v>10</v>
      </c>
      <c r="F19" s="4" t="s">
        <v>9</v>
      </c>
    </row>
    <row r="20" spans="1:6" x14ac:dyDescent="0.25">
      <c r="A20" s="3" t="s">
        <v>58</v>
      </c>
      <c r="B20" s="3" t="s">
        <v>59</v>
      </c>
      <c r="C20" s="3" t="s">
        <v>60</v>
      </c>
      <c r="D20" s="3">
        <v>150</v>
      </c>
      <c r="E20" s="3">
        <v>15</v>
      </c>
      <c r="F20" s="3" t="s">
        <v>13</v>
      </c>
    </row>
    <row r="21" spans="1:6" x14ac:dyDescent="0.25">
      <c r="A21" s="4" t="s">
        <v>61</v>
      </c>
      <c r="B21" s="4" t="s">
        <v>62</v>
      </c>
      <c r="C21" s="4" t="s">
        <v>63</v>
      </c>
      <c r="D21" s="4">
        <v>200</v>
      </c>
      <c r="E21" s="4">
        <v>10</v>
      </c>
      <c r="F21" s="4" t="s">
        <v>24</v>
      </c>
    </row>
    <row r="22" spans="1:6" x14ac:dyDescent="0.25">
      <c r="A22" s="3" t="s">
        <v>64</v>
      </c>
      <c r="B22" s="3" t="s">
        <v>65</v>
      </c>
      <c r="C22" s="3" t="s">
        <v>66</v>
      </c>
      <c r="D22" s="3">
        <v>700</v>
      </c>
      <c r="E22" s="3">
        <v>50</v>
      </c>
      <c r="F22" s="3" t="s">
        <v>9</v>
      </c>
    </row>
    <row r="23" spans="1:6" x14ac:dyDescent="0.25">
      <c r="A23" s="4" t="s">
        <v>67</v>
      </c>
      <c r="B23" s="4" t="s">
        <v>68</v>
      </c>
      <c r="C23" s="4" t="s">
        <v>69</v>
      </c>
      <c r="D23" s="4">
        <v>80</v>
      </c>
      <c r="E23" s="4">
        <v>20</v>
      </c>
      <c r="F23" s="4" t="s">
        <v>17</v>
      </c>
    </row>
    <row r="24" spans="1:6" x14ac:dyDescent="0.25">
      <c r="A24" s="3" t="s">
        <v>70</v>
      </c>
      <c r="B24" s="3" t="s">
        <v>71</v>
      </c>
      <c r="C24" s="3" t="s">
        <v>72</v>
      </c>
      <c r="D24" s="3">
        <v>150</v>
      </c>
      <c r="E24" s="3">
        <v>30</v>
      </c>
      <c r="F24" s="3" t="s">
        <v>9</v>
      </c>
    </row>
    <row r="25" spans="1:6" x14ac:dyDescent="0.25">
      <c r="A25" s="4" t="s">
        <v>50</v>
      </c>
      <c r="B25" s="4" t="s">
        <v>51</v>
      </c>
      <c r="C25" s="4" t="s">
        <v>52</v>
      </c>
      <c r="D25" s="4">
        <v>50</v>
      </c>
      <c r="E25" s="4">
        <v>35</v>
      </c>
      <c r="F25" s="4" t="s">
        <v>53</v>
      </c>
    </row>
    <row r="26" spans="1:6" x14ac:dyDescent="0.25">
      <c r="A26" s="3" t="s">
        <v>73</v>
      </c>
      <c r="B26" s="3" t="s">
        <v>19</v>
      </c>
      <c r="C26" s="3" t="s">
        <v>74</v>
      </c>
      <c r="D26" s="3">
        <v>800</v>
      </c>
      <c r="E26" s="3">
        <v>45</v>
      </c>
      <c r="F26" s="3" t="s">
        <v>9</v>
      </c>
    </row>
    <row r="27" spans="1:6" x14ac:dyDescent="0.25">
      <c r="A27" s="4" t="s">
        <v>75</v>
      </c>
      <c r="B27" s="4" t="s">
        <v>59</v>
      </c>
      <c r="C27" s="4" t="s">
        <v>76</v>
      </c>
      <c r="D27" s="4">
        <v>130</v>
      </c>
      <c r="E27" s="4">
        <v>25</v>
      </c>
      <c r="F27" s="4" t="s">
        <v>13</v>
      </c>
    </row>
    <row r="28" spans="1:6" x14ac:dyDescent="0.25">
      <c r="A28" s="3" t="s">
        <v>77</v>
      </c>
      <c r="B28" s="3" t="s">
        <v>32</v>
      </c>
      <c r="C28" s="3" t="s">
        <v>78</v>
      </c>
      <c r="D28" s="3">
        <v>400</v>
      </c>
      <c r="E28" s="3">
        <v>40</v>
      </c>
      <c r="F28" s="3" t="s">
        <v>17</v>
      </c>
    </row>
    <row r="29" spans="1:6" x14ac:dyDescent="0.25">
      <c r="A29" s="4" t="s">
        <v>48</v>
      </c>
      <c r="B29" s="4" t="s">
        <v>26</v>
      </c>
      <c r="C29" s="4" t="s">
        <v>49</v>
      </c>
      <c r="D29" s="4">
        <v>230</v>
      </c>
      <c r="E29" s="4">
        <v>20</v>
      </c>
      <c r="F29" s="4" t="s">
        <v>9</v>
      </c>
    </row>
    <row r="30" spans="1:6" x14ac:dyDescent="0.25">
      <c r="A30" s="3" t="s">
        <v>79</v>
      </c>
      <c r="B30" s="3" t="s">
        <v>80</v>
      </c>
      <c r="C30" s="3" t="s">
        <v>81</v>
      </c>
      <c r="D30" s="3">
        <v>60</v>
      </c>
      <c r="E30" s="3">
        <v>30</v>
      </c>
      <c r="F30" s="3" t="s">
        <v>13</v>
      </c>
    </row>
    <row r="31" spans="1:6" x14ac:dyDescent="0.25">
      <c r="A31" s="4" t="s">
        <v>82</v>
      </c>
      <c r="B31" s="4" t="s">
        <v>83</v>
      </c>
      <c r="C31" s="4" t="s">
        <v>84</v>
      </c>
      <c r="D31" s="4">
        <v>40</v>
      </c>
      <c r="E31" s="4">
        <v>10</v>
      </c>
      <c r="F31" s="4" t="s">
        <v>17</v>
      </c>
    </row>
    <row r="32" spans="1:6" x14ac:dyDescent="0.25">
      <c r="A32" s="3" t="s">
        <v>85</v>
      </c>
      <c r="B32" s="3" t="s">
        <v>71</v>
      </c>
      <c r="C32" s="3" t="s">
        <v>86</v>
      </c>
      <c r="D32" s="3">
        <v>130</v>
      </c>
      <c r="E32" s="3">
        <v>5</v>
      </c>
      <c r="F32" s="3" t="s">
        <v>9</v>
      </c>
    </row>
    <row r="33" spans="1:6" x14ac:dyDescent="0.25">
      <c r="A33" s="4" t="s">
        <v>87</v>
      </c>
      <c r="B33" s="4" t="s">
        <v>88</v>
      </c>
      <c r="C33" s="4" t="s">
        <v>89</v>
      </c>
      <c r="D33" s="4">
        <v>50</v>
      </c>
      <c r="E33" s="4">
        <v>50</v>
      </c>
      <c r="F33" s="4" t="s">
        <v>13</v>
      </c>
    </row>
    <row r="34" spans="1:6" x14ac:dyDescent="0.25">
      <c r="A34" s="3" t="s">
        <v>40</v>
      </c>
      <c r="B34" s="3" t="s">
        <v>7</v>
      </c>
      <c r="C34" s="3" t="s">
        <v>41</v>
      </c>
      <c r="D34" s="3">
        <v>950</v>
      </c>
      <c r="E34" s="3">
        <v>25</v>
      </c>
      <c r="F34" s="3" t="s">
        <v>9</v>
      </c>
    </row>
    <row r="35" spans="1:6" x14ac:dyDescent="0.25">
      <c r="A35" s="4" t="s">
        <v>90</v>
      </c>
      <c r="B35" s="4" t="s">
        <v>91</v>
      </c>
      <c r="C35" s="4" t="s">
        <v>92</v>
      </c>
      <c r="D35" s="4">
        <v>100</v>
      </c>
      <c r="E35" s="4">
        <v>20</v>
      </c>
      <c r="F35" s="4" t="s">
        <v>53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F71C-0300-41F6-A373-5562F58BE901}">
  <dimension ref="A1:N35"/>
  <sheetViews>
    <sheetView zoomScale="85" zoomScaleNormal="85" workbookViewId="0">
      <selection activeCell="N14" sqref="N14"/>
    </sheetView>
  </sheetViews>
  <sheetFormatPr defaultRowHeight="13.2" x14ac:dyDescent="0.25"/>
  <cols>
    <col min="1" max="1" width="11.33203125" customWidth="1"/>
    <col min="2" max="2" width="11.44140625" customWidth="1"/>
    <col min="3" max="3" width="11.88671875" customWidth="1"/>
    <col min="4" max="4" width="10.5546875" customWidth="1"/>
    <col min="6" max="6" width="10.88671875" customWidth="1"/>
    <col min="8" max="8" width="11.109375" customWidth="1"/>
    <col min="10" max="10" width="16.44140625" bestFit="1" customWidth="1"/>
    <col min="11" max="12" width="15.44140625" bestFit="1" customWidth="1"/>
  </cols>
  <sheetData>
    <row r="1" spans="1:14" x14ac:dyDescent="0.25">
      <c r="A1" s="1" t="s">
        <v>0</v>
      </c>
      <c r="B1" s="1" t="s">
        <v>1</v>
      </c>
      <c r="C1" s="1" t="s">
        <v>1</v>
      </c>
      <c r="D1" s="1" t="s">
        <v>3</v>
      </c>
      <c r="E1" s="1" t="s">
        <v>4</v>
      </c>
      <c r="F1" s="1" t="s">
        <v>5</v>
      </c>
      <c r="G1" s="8" t="s">
        <v>106</v>
      </c>
      <c r="H1" s="8" t="s">
        <v>107</v>
      </c>
      <c r="I1" s="8" t="s">
        <v>108</v>
      </c>
    </row>
    <row r="2" spans="1:14" x14ac:dyDescent="0.25">
      <c r="A2" s="3" t="s">
        <v>6</v>
      </c>
      <c r="B2" s="3" t="s">
        <v>7</v>
      </c>
      <c r="C2" s="3" t="s">
        <v>8</v>
      </c>
      <c r="D2" s="3">
        <v>1000</v>
      </c>
      <c r="E2" s="3">
        <v>30</v>
      </c>
      <c r="F2" s="3" t="s">
        <v>9</v>
      </c>
      <c r="G2" t="str">
        <f>LEFT(A2,2)</f>
        <v>28</v>
      </c>
      <c r="H2" t="str">
        <f>RIGHT(A2,2)</f>
        <v>US</v>
      </c>
      <c r="I2" t="str">
        <f>MID(A2,4,3)</f>
        <v>JAN</v>
      </c>
      <c r="J2" s="22" t="s">
        <v>110</v>
      </c>
      <c r="K2" t="s">
        <v>112</v>
      </c>
      <c r="L2" t="s">
        <v>113</v>
      </c>
    </row>
    <row r="3" spans="1:14" ht="13.8" x14ac:dyDescent="0.25">
      <c r="A3" s="4" t="s">
        <v>10</v>
      </c>
      <c r="B3" s="4" t="s">
        <v>11</v>
      </c>
      <c r="C3" s="4" t="s">
        <v>12</v>
      </c>
      <c r="D3" s="4">
        <v>80</v>
      </c>
      <c r="E3" s="4">
        <v>15</v>
      </c>
      <c r="F3" s="4" t="s">
        <v>13</v>
      </c>
      <c r="G3" s="12" t="str">
        <f t="shared" ref="G3:G35" si="0">LEFT(A3,2)</f>
        <v>15</v>
      </c>
      <c r="H3" t="str">
        <f t="shared" ref="H3:H35" si="1">RIGHT(A3,2)</f>
        <v>US</v>
      </c>
      <c r="I3" t="str">
        <f t="shared" ref="I3:I35" si="2">MID(A3,4,3)</f>
        <v>FEB</v>
      </c>
      <c r="J3" s="23" t="s">
        <v>34</v>
      </c>
      <c r="K3" s="24">
        <v>500</v>
      </c>
      <c r="L3" s="24">
        <v>50</v>
      </c>
    </row>
    <row r="4" spans="1:14" x14ac:dyDescent="0.25">
      <c r="A4" s="3" t="s">
        <v>14</v>
      </c>
      <c r="B4" s="3" t="s">
        <v>15</v>
      </c>
      <c r="C4" s="3" t="s">
        <v>16</v>
      </c>
      <c r="D4" s="3">
        <v>130</v>
      </c>
      <c r="E4" s="3">
        <v>40</v>
      </c>
      <c r="F4" s="3" t="s">
        <v>17</v>
      </c>
      <c r="G4" t="str">
        <f t="shared" si="0"/>
        <v>03</v>
      </c>
      <c r="H4" t="str">
        <f t="shared" si="1"/>
        <v>US</v>
      </c>
      <c r="I4" t="str">
        <f t="shared" si="2"/>
        <v>MAR</v>
      </c>
      <c r="J4" s="25" t="s">
        <v>35</v>
      </c>
      <c r="K4" s="24">
        <v>500</v>
      </c>
      <c r="L4" s="24">
        <v>50</v>
      </c>
    </row>
    <row r="5" spans="1:14" x14ac:dyDescent="0.25">
      <c r="A5" s="4" t="s">
        <v>18</v>
      </c>
      <c r="B5" s="4" t="s">
        <v>19</v>
      </c>
      <c r="C5" s="4" t="s">
        <v>20</v>
      </c>
      <c r="D5" s="4">
        <v>900</v>
      </c>
      <c r="E5" s="4">
        <v>25</v>
      </c>
      <c r="F5" s="4" t="s">
        <v>9</v>
      </c>
      <c r="G5" t="str">
        <f t="shared" si="0"/>
        <v>11</v>
      </c>
      <c r="H5" t="str">
        <f t="shared" si="1"/>
        <v>US</v>
      </c>
      <c r="I5" t="str">
        <f t="shared" si="2"/>
        <v>APR</v>
      </c>
      <c r="J5" s="23" t="s">
        <v>25</v>
      </c>
      <c r="K5" s="24">
        <v>200</v>
      </c>
      <c r="L5" s="24">
        <v>45</v>
      </c>
    </row>
    <row r="6" spans="1:14" x14ac:dyDescent="0.25">
      <c r="A6" s="3" t="s">
        <v>21</v>
      </c>
      <c r="B6" s="3" t="s">
        <v>22</v>
      </c>
      <c r="C6" s="3" t="s">
        <v>23</v>
      </c>
      <c r="D6" s="3">
        <v>70</v>
      </c>
      <c r="E6" s="3">
        <v>20</v>
      </c>
      <c r="F6" s="3" t="s">
        <v>24</v>
      </c>
      <c r="G6" t="str">
        <f t="shared" si="0"/>
        <v>22</v>
      </c>
      <c r="H6" t="str">
        <f t="shared" si="1"/>
        <v>US</v>
      </c>
      <c r="I6" t="str">
        <f t="shared" si="2"/>
        <v>MAY</v>
      </c>
      <c r="J6" s="25" t="s">
        <v>26</v>
      </c>
      <c r="K6" s="24">
        <v>200</v>
      </c>
      <c r="L6" s="24">
        <v>45</v>
      </c>
    </row>
    <row r="7" spans="1:14" x14ac:dyDescent="0.25">
      <c r="A7" s="4" t="s">
        <v>25</v>
      </c>
      <c r="B7" s="4" t="s">
        <v>26</v>
      </c>
      <c r="C7" s="4" t="s">
        <v>27</v>
      </c>
      <c r="D7" s="4">
        <v>200</v>
      </c>
      <c r="E7" s="4">
        <v>45</v>
      </c>
      <c r="F7" s="4" t="s">
        <v>9</v>
      </c>
      <c r="G7" t="str">
        <f t="shared" si="0"/>
        <v>07</v>
      </c>
      <c r="H7" t="str">
        <f t="shared" si="1"/>
        <v>UK</v>
      </c>
      <c r="I7" t="str">
        <f t="shared" si="2"/>
        <v>JUN</v>
      </c>
      <c r="J7" s="23" t="s">
        <v>18</v>
      </c>
      <c r="K7" s="24">
        <v>900</v>
      </c>
      <c r="L7" s="24">
        <v>25</v>
      </c>
    </row>
    <row r="8" spans="1:14" x14ac:dyDescent="0.25">
      <c r="A8" s="3" t="s">
        <v>28</v>
      </c>
      <c r="B8" s="3" t="s">
        <v>29</v>
      </c>
      <c r="C8" s="3" t="s">
        <v>30</v>
      </c>
      <c r="D8" s="3">
        <v>30</v>
      </c>
      <c r="E8" s="3">
        <v>5</v>
      </c>
      <c r="F8" s="3" t="s">
        <v>13</v>
      </c>
      <c r="G8" t="str">
        <f t="shared" si="0"/>
        <v>19</v>
      </c>
      <c r="H8" t="str">
        <f t="shared" si="1"/>
        <v>UK</v>
      </c>
      <c r="I8" t="str">
        <f t="shared" si="2"/>
        <v>JUL</v>
      </c>
      <c r="J8" s="25" t="s">
        <v>19</v>
      </c>
      <c r="K8" s="24">
        <v>900</v>
      </c>
      <c r="L8" s="24">
        <v>25</v>
      </c>
    </row>
    <row r="9" spans="1:14" x14ac:dyDescent="0.25">
      <c r="A9" s="4" t="s">
        <v>31</v>
      </c>
      <c r="B9" s="4" t="s">
        <v>32</v>
      </c>
      <c r="C9" s="4" t="s">
        <v>33</v>
      </c>
      <c r="D9" s="4">
        <v>90</v>
      </c>
      <c r="E9" s="4">
        <v>35</v>
      </c>
      <c r="F9" s="4" t="s">
        <v>17</v>
      </c>
      <c r="G9" t="str">
        <f t="shared" si="0"/>
        <v>23</v>
      </c>
      <c r="H9" t="str">
        <f t="shared" si="1"/>
        <v>UK</v>
      </c>
      <c r="I9" t="str">
        <f t="shared" si="2"/>
        <v>AUG</v>
      </c>
      <c r="J9" s="23" t="s">
        <v>77</v>
      </c>
      <c r="K9" s="24">
        <v>400</v>
      </c>
      <c r="L9" s="24">
        <v>40</v>
      </c>
    </row>
    <row r="10" spans="1:14" x14ac:dyDescent="0.25">
      <c r="A10" s="3" t="s">
        <v>34</v>
      </c>
      <c r="B10" s="3" t="s">
        <v>35</v>
      </c>
      <c r="C10" s="3" t="s">
        <v>36</v>
      </c>
      <c r="D10" s="3">
        <v>500</v>
      </c>
      <c r="E10" s="3">
        <v>50</v>
      </c>
      <c r="F10" s="3" t="s">
        <v>9</v>
      </c>
      <c r="G10" t="str">
        <f t="shared" si="0"/>
        <v>05</v>
      </c>
      <c r="H10" t="str">
        <f t="shared" si="1"/>
        <v>UK</v>
      </c>
      <c r="I10" t="str">
        <f t="shared" si="2"/>
        <v>SEP</v>
      </c>
      <c r="J10" s="25" t="s">
        <v>32</v>
      </c>
      <c r="K10" s="24">
        <v>400</v>
      </c>
      <c r="L10" s="24">
        <v>40</v>
      </c>
    </row>
    <row r="11" spans="1:14" x14ac:dyDescent="0.25">
      <c r="A11" s="4" t="s">
        <v>37</v>
      </c>
      <c r="B11" s="4" t="s">
        <v>38</v>
      </c>
      <c r="C11" s="4" t="s">
        <v>39</v>
      </c>
      <c r="D11" s="4">
        <v>130</v>
      </c>
      <c r="E11" s="4">
        <v>10</v>
      </c>
      <c r="F11" s="4" t="s">
        <v>24</v>
      </c>
      <c r="G11" t="str">
        <f t="shared" si="0"/>
        <v>14</v>
      </c>
      <c r="H11" t="str">
        <f t="shared" si="1"/>
        <v>UK</v>
      </c>
      <c r="I11" t="str">
        <f t="shared" si="2"/>
        <v>OCT</v>
      </c>
      <c r="J11" s="23" t="s">
        <v>61</v>
      </c>
      <c r="K11" s="24">
        <v>200</v>
      </c>
      <c r="L11" s="24">
        <v>10</v>
      </c>
      <c r="N11" s="6" t="s">
        <v>119</v>
      </c>
    </row>
    <row r="12" spans="1:14" x14ac:dyDescent="0.25">
      <c r="A12" s="3" t="s">
        <v>40</v>
      </c>
      <c r="B12" s="3" t="s">
        <v>7</v>
      </c>
      <c r="C12" s="3" t="s">
        <v>41</v>
      </c>
      <c r="D12" s="3">
        <v>950</v>
      </c>
      <c r="E12" s="3">
        <v>25</v>
      </c>
      <c r="F12" s="3" t="s">
        <v>9</v>
      </c>
      <c r="G12" t="str">
        <f t="shared" si="0"/>
        <v>17</v>
      </c>
      <c r="H12" t="str">
        <f t="shared" si="1"/>
        <v>IN</v>
      </c>
      <c r="I12" t="str">
        <f t="shared" si="2"/>
        <v>JUN</v>
      </c>
      <c r="J12" s="25" t="s">
        <v>62</v>
      </c>
      <c r="K12" s="24">
        <v>200</v>
      </c>
      <c r="L12" s="24">
        <v>10</v>
      </c>
      <c r="N12" s="6" t="s">
        <v>105</v>
      </c>
    </row>
    <row r="13" spans="1:14" x14ac:dyDescent="0.25">
      <c r="A13" s="4" t="s">
        <v>42</v>
      </c>
      <c r="B13" s="4" t="s">
        <v>11</v>
      </c>
      <c r="C13" s="4" t="s">
        <v>30</v>
      </c>
      <c r="D13" s="4">
        <v>90</v>
      </c>
      <c r="E13" s="4">
        <v>40</v>
      </c>
      <c r="F13" s="4" t="s">
        <v>13</v>
      </c>
      <c r="G13" t="str">
        <f t="shared" si="0"/>
        <v>25</v>
      </c>
      <c r="H13" t="str">
        <f t="shared" si="1"/>
        <v>AU</v>
      </c>
      <c r="I13" t="str">
        <f t="shared" si="2"/>
        <v>NOV</v>
      </c>
      <c r="J13" s="23" t="s">
        <v>64</v>
      </c>
      <c r="K13" s="24">
        <v>700</v>
      </c>
      <c r="L13" s="24">
        <v>50</v>
      </c>
      <c r="N13" s="6" t="s">
        <v>109</v>
      </c>
    </row>
    <row r="14" spans="1:14" x14ac:dyDescent="0.25">
      <c r="A14" s="3" t="s">
        <v>43</v>
      </c>
      <c r="B14" s="3" t="s">
        <v>15</v>
      </c>
      <c r="C14" s="3" t="s">
        <v>44</v>
      </c>
      <c r="D14" s="3">
        <v>120</v>
      </c>
      <c r="E14" s="3">
        <v>35</v>
      </c>
      <c r="F14" s="3" t="s">
        <v>17</v>
      </c>
      <c r="G14" t="str">
        <f t="shared" si="0"/>
        <v>08</v>
      </c>
      <c r="H14" t="str">
        <f t="shared" si="1"/>
        <v>DE</v>
      </c>
      <c r="I14" t="str">
        <f t="shared" si="2"/>
        <v>DEC</v>
      </c>
      <c r="J14" s="25" t="s">
        <v>65</v>
      </c>
      <c r="K14" s="24">
        <v>700</v>
      </c>
      <c r="L14" s="24">
        <v>50</v>
      </c>
    </row>
    <row r="15" spans="1:14" x14ac:dyDescent="0.25">
      <c r="A15" s="4" t="s">
        <v>45</v>
      </c>
      <c r="B15" s="4" t="s">
        <v>46</v>
      </c>
      <c r="C15" s="4" t="s">
        <v>47</v>
      </c>
      <c r="D15" s="4">
        <v>150</v>
      </c>
      <c r="E15" s="4">
        <v>15</v>
      </c>
      <c r="F15" s="4" t="s">
        <v>9</v>
      </c>
      <c r="G15" t="str">
        <f t="shared" si="0"/>
        <v>18</v>
      </c>
      <c r="H15" t="str">
        <f t="shared" si="1"/>
        <v>CA</v>
      </c>
      <c r="I15" t="str">
        <f t="shared" si="2"/>
        <v>FEB</v>
      </c>
      <c r="J15" s="23" t="s">
        <v>48</v>
      </c>
      <c r="K15" s="24">
        <v>480</v>
      </c>
      <c r="L15" s="24">
        <v>40</v>
      </c>
    </row>
    <row r="16" spans="1:14" x14ac:dyDescent="0.25">
      <c r="A16" s="3" t="s">
        <v>48</v>
      </c>
      <c r="B16" s="3" t="s">
        <v>26</v>
      </c>
      <c r="C16" s="3" t="s">
        <v>49</v>
      </c>
      <c r="D16" s="3">
        <v>250</v>
      </c>
      <c r="E16" s="3">
        <v>20</v>
      </c>
      <c r="F16" s="3" t="s">
        <v>9</v>
      </c>
      <c r="G16" t="str">
        <f t="shared" si="0"/>
        <v>16</v>
      </c>
      <c r="H16" t="str">
        <f t="shared" si="1"/>
        <v>ES</v>
      </c>
      <c r="I16" t="str">
        <f t="shared" si="2"/>
        <v>APR</v>
      </c>
      <c r="J16" s="25" t="s">
        <v>26</v>
      </c>
      <c r="K16" s="24">
        <v>480</v>
      </c>
      <c r="L16" s="24">
        <v>40</v>
      </c>
    </row>
    <row r="17" spans="1:12" x14ac:dyDescent="0.25">
      <c r="A17" s="4" t="s">
        <v>50</v>
      </c>
      <c r="B17" s="4" t="s">
        <v>51</v>
      </c>
      <c r="C17" s="4" t="s">
        <v>52</v>
      </c>
      <c r="D17" s="4">
        <v>50</v>
      </c>
      <c r="E17" s="4">
        <v>35</v>
      </c>
      <c r="F17" s="4" t="s">
        <v>53</v>
      </c>
      <c r="G17" t="str">
        <f t="shared" si="0"/>
        <v>21</v>
      </c>
      <c r="H17" t="str">
        <f t="shared" si="1"/>
        <v>CA</v>
      </c>
      <c r="I17" t="str">
        <f t="shared" si="2"/>
        <v>AUG</v>
      </c>
      <c r="J17" s="23" t="s">
        <v>40</v>
      </c>
      <c r="K17" s="24">
        <v>1900</v>
      </c>
      <c r="L17" s="24">
        <v>50</v>
      </c>
    </row>
    <row r="18" spans="1:12" x14ac:dyDescent="0.25">
      <c r="A18" s="3" t="s">
        <v>54</v>
      </c>
      <c r="B18" s="3" t="s">
        <v>46</v>
      </c>
      <c r="C18" s="3" t="s">
        <v>55</v>
      </c>
      <c r="D18" s="3">
        <v>160</v>
      </c>
      <c r="E18" s="3">
        <v>15</v>
      </c>
      <c r="F18" s="3" t="s">
        <v>9</v>
      </c>
      <c r="G18" t="str">
        <f t="shared" si="0"/>
        <v>20</v>
      </c>
      <c r="H18" t="str">
        <f t="shared" si="1"/>
        <v>CN</v>
      </c>
      <c r="I18" t="str">
        <f t="shared" si="2"/>
        <v>AUG</v>
      </c>
      <c r="J18" s="25" t="s">
        <v>7</v>
      </c>
      <c r="K18" s="24">
        <v>1900</v>
      </c>
      <c r="L18" s="24">
        <v>50</v>
      </c>
    </row>
    <row r="19" spans="1:12" x14ac:dyDescent="0.25">
      <c r="A19" s="4" t="s">
        <v>56</v>
      </c>
      <c r="B19" s="4" t="s">
        <v>7</v>
      </c>
      <c r="C19" s="4" t="s">
        <v>57</v>
      </c>
      <c r="D19" s="4">
        <v>980</v>
      </c>
      <c r="E19" s="4">
        <v>10</v>
      </c>
      <c r="F19" s="4" t="s">
        <v>9</v>
      </c>
      <c r="G19" t="str">
        <f t="shared" si="0"/>
        <v>27</v>
      </c>
      <c r="H19" t="str">
        <f t="shared" si="1"/>
        <v>IT</v>
      </c>
      <c r="I19" t="str">
        <f t="shared" si="2"/>
        <v>JAN</v>
      </c>
      <c r="J19" s="23" t="s">
        <v>56</v>
      </c>
      <c r="K19" s="24">
        <v>980</v>
      </c>
      <c r="L19" s="24">
        <v>10</v>
      </c>
    </row>
    <row r="20" spans="1:12" x14ac:dyDescent="0.25">
      <c r="A20" s="3" t="s">
        <v>58</v>
      </c>
      <c r="B20" s="3" t="s">
        <v>59</v>
      </c>
      <c r="C20" s="3" t="s">
        <v>60</v>
      </c>
      <c r="D20" s="3">
        <v>150</v>
      </c>
      <c r="E20" s="3">
        <v>15</v>
      </c>
      <c r="F20" s="3" t="s">
        <v>13</v>
      </c>
      <c r="G20" t="str">
        <f t="shared" si="0"/>
        <v>01</v>
      </c>
      <c r="H20" t="str">
        <f t="shared" si="1"/>
        <v>UK</v>
      </c>
      <c r="I20" t="str">
        <f t="shared" si="2"/>
        <v>MAR</v>
      </c>
      <c r="J20" s="25" t="s">
        <v>7</v>
      </c>
      <c r="K20" s="24">
        <v>980</v>
      </c>
      <c r="L20" s="24">
        <v>10</v>
      </c>
    </row>
    <row r="21" spans="1:12" x14ac:dyDescent="0.25">
      <c r="A21" s="4" t="s">
        <v>61</v>
      </c>
      <c r="B21" s="4" t="s">
        <v>62</v>
      </c>
      <c r="C21" s="4" t="s">
        <v>63</v>
      </c>
      <c r="D21" s="4">
        <v>200</v>
      </c>
      <c r="E21" s="4">
        <v>10</v>
      </c>
      <c r="F21" s="4" t="s">
        <v>24</v>
      </c>
      <c r="G21" t="str">
        <f t="shared" si="0"/>
        <v>14</v>
      </c>
      <c r="H21" t="str">
        <f t="shared" si="1"/>
        <v>US</v>
      </c>
      <c r="I21" t="str">
        <f t="shared" si="2"/>
        <v>AUG</v>
      </c>
      <c r="J21" s="23" t="s">
        <v>6</v>
      </c>
      <c r="K21" s="24">
        <v>1000</v>
      </c>
      <c r="L21" s="24">
        <v>30</v>
      </c>
    </row>
    <row r="22" spans="1:12" x14ac:dyDescent="0.25">
      <c r="A22" s="3" t="s">
        <v>64</v>
      </c>
      <c r="B22" s="3" t="s">
        <v>65</v>
      </c>
      <c r="C22" s="3" t="s">
        <v>66</v>
      </c>
      <c r="D22" s="3">
        <v>700</v>
      </c>
      <c r="E22" s="3">
        <v>50</v>
      </c>
      <c r="F22" s="3" t="s">
        <v>9</v>
      </c>
      <c r="G22" t="str">
        <f t="shared" si="0"/>
        <v>14</v>
      </c>
      <c r="H22" t="str">
        <f t="shared" si="1"/>
        <v>RU</v>
      </c>
      <c r="I22" t="str">
        <f t="shared" si="2"/>
        <v>MAY</v>
      </c>
      <c r="J22" s="25" t="s">
        <v>7</v>
      </c>
      <c r="K22" s="24">
        <v>1000</v>
      </c>
      <c r="L22" s="24">
        <v>30</v>
      </c>
    </row>
    <row r="23" spans="1:12" x14ac:dyDescent="0.25">
      <c r="A23" s="4" t="s">
        <v>67</v>
      </c>
      <c r="B23" s="4" t="s">
        <v>68</v>
      </c>
      <c r="C23" s="4" t="s">
        <v>69</v>
      </c>
      <c r="D23" s="4">
        <v>80</v>
      </c>
      <c r="E23" s="4">
        <v>20</v>
      </c>
      <c r="F23" s="4" t="s">
        <v>17</v>
      </c>
      <c r="G23" t="str">
        <f t="shared" si="0"/>
        <v>09</v>
      </c>
      <c r="H23" t="str">
        <f t="shared" si="1"/>
        <v>CA</v>
      </c>
      <c r="I23" t="str">
        <f t="shared" si="2"/>
        <v>JAN</v>
      </c>
      <c r="J23" s="23" t="s">
        <v>73</v>
      </c>
      <c r="K23" s="24">
        <v>800</v>
      </c>
      <c r="L23" s="24">
        <v>45</v>
      </c>
    </row>
    <row r="24" spans="1:12" x14ac:dyDescent="0.25">
      <c r="A24" s="3" t="s">
        <v>70</v>
      </c>
      <c r="B24" s="3" t="s">
        <v>71</v>
      </c>
      <c r="C24" s="3" t="s">
        <v>72</v>
      </c>
      <c r="D24" s="3">
        <v>150</v>
      </c>
      <c r="E24" s="3">
        <v>30</v>
      </c>
      <c r="F24" s="3" t="s">
        <v>9</v>
      </c>
      <c r="G24" t="str">
        <f t="shared" si="0"/>
        <v>19</v>
      </c>
      <c r="H24" t="str">
        <f t="shared" si="1"/>
        <v>BR</v>
      </c>
      <c r="I24" t="str">
        <f t="shared" si="2"/>
        <v>JUL</v>
      </c>
      <c r="J24" s="25" t="s">
        <v>19</v>
      </c>
      <c r="K24" s="24">
        <v>800</v>
      </c>
      <c r="L24" s="24">
        <v>45</v>
      </c>
    </row>
    <row r="25" spans="1:12" x14ac:dyDescent="0.25">
      <c r="A25" s="4" t="s">
        <v>50</v>
      </c>
      <c r="B25" s="4" t="s">
        <v>51</v>
      </c>
      <c r="C25" s="4" t="s">
        <v>52</v>
      </c>
      <c r="D25" s="4">
        <v>50</v>
      </c>
      <c r="E25" s="4">
        <v>35</v>
      </c>
      <c r="F25" s="4" t="s">
        <v>53</v>
      </c>
      <c r="G25" t="str">
        <f t="shared" si="0"/>
        <v>21</v>
      </c>
      <c r="H25" t="str">
        <f t="shared" si="1"/>
        <v>CA</v>
      </c>
      <c r="I25" t="str">
        <f t="shared" si="2"/>
        <v>AUG</v>
      </c>
      <c r="J25" s="23" t="s">
        <v>111</v>
      </c>
      <c r="K25" s="24">
        <v>8060</v>
      </c>
      <c r="L25" s="24">
        <v>395</v>
      </c>
    </row>
    <row r="26" spans="1:12" x14ac:dyDescent="0.25">
      <c r="A26" s="3" t="s">
        <v>73</v>
      </c>
      <c r="B26" s="3" t="s">
        <v>19</v>
      </c>
      <c r="C26" s="3" t="s">
        <v>74</v>
      </c>
      <c r="D26" s="3">
        <v>800</v>
      </c>
      <c r="E26" s="3">
        <v>45</v>
      </c>
      <c r="F26" s="3" t="s">
        <v>9</v>
      </c>
      <c r="G26" t="str">
        <f t="shared" si="0"/>
        <v>29</v>
      </c>
      <c r="H26" t="str">
        <f t="shared" si="1"/>
        <v>CA</v>
      </c>
      <c r="I26" t="str">
        <f t="shared" si="2"/>
        <v>SEP</v>
      </c>
    </row>
    <row r="27" spans="1:12" x14ac:dyDescent="0.25">
      <c r="A27" s="4" t="s">
        <v>75</v>
      </c>
      <c r="B27" s="4" t="s">
        <v>59</v>
      </c>
      <c r="C27" s="4" t="s">
        <v>76</v>
      </c>
      <c r="D27" s="4">
        <v>130</v>
      </c>
      <c r="E27" s="4">
        <v>25</v>
      </c>
      <c r="F27" s="4" t="s">
        <v>13</v>
      </c>
      <c r="G27" t="str">
        <f t="shared" si="0"/>
        <v>03</v>
      </c>
      <c r="H27" t="str">
        <f t="shared" si="1"/>
        <v>CA</v>
      </c>
      <c r="I27" t="str">
        <f t="shared" si="2"/>
        <v>JUN</v>
      </c>
    </row>
    <row r="28" spans="1:12" x14ac:dyDescent="0.25">
      <c r="A28" s="3" t="s">
        <v>77</v>
      </c>
      <c r="B28" s="3" t="s">
        <v>32</v>
      </c>
      <c r="C28" s="3" t="s">
        <v>78</v>
      </c>
      <c r="D28" s="3">
        <v>400</v>
      </c>
      <c r="E28" s="3">
        <v>40</v>
      </c>
      <c r="F28" s="3" t="s">
        <v>17</v>
      </c>
      <c r="G28" t="str">
        <f t="shared" si="0"/>
        <v>11</v>
      </c>
      <c r="H28" t="str">
        <f t="shared" si="1"/>
        <v>CA</v>
      </c>
      <c r="I28" t="str">
        <f t="shared" si="2"/>
        <v>JUL</v>
      </c>
    </row>
    <row r="29" spans="1:12" x14ac:dyDescent="0.25">
      <c r="A29" s="4" t="s">
        <v>48</v>
      </c>
      <c r="B29" s="4" t="s">
        <v>26</v>
      </c>
      <c r="C29" s="4" t="s">
        <v>49</v>
      </c>
      <c r="D29" s="4">
        <v>230</v>
      </c>
      <c r="E29" s="4">
        <v>20</v>
      </c>
      <c r="F29" s="4" t="s">
        <v>9</v>
      </c>
      <c r="G29" t="str">
        <f t="shared" si="0"/>
        <v>16</v>
      </c>
      <c r="H29" t="str">
        <f t="shared" si="1"/>
        <v>ES</v>
      </c>
      <c r="I29" t="str">
        <f t="shared" si="2"/>
        <v>APR</v>
      </c>
    </row>
    <row r="30" spans="1:12" x14ac:dyDescent="0.25">
      <c r="A30" s="3" t="s">
        <v>79</v>
      </c>
      <c r="B30" s="3" t="s">
        <v>80</v>
      </c>
      <c r="C30" s="3" t="s">
        <v>81</v>
      </c>
      <c r="D30" s="3">
        <v>60</v>
      </c>
      <c r="E30" s="3">
        <v>30</v>
      </c>
      <c r="F30" s="3" t="s">
        <v>13</v>
      </c>
      <c r="G30" t="str">
        <f t="shared" si="0"/>
        <v>07</v>
      </c>
      <c r="H30" t="str">
        <f t="shared" si="1"/>
        <v>CA</v>
      </c>
      <c r="I30" t="str">
        <f t="shared" si="2"/>
        <v>MAR</v>
      </c>
    </row>
    <row r="31" spans="1:12" x14ac:dyDescent="0.25">
      <c r="A31" s="4" t="s">
        <v>82</v>
      </c>
      <c r="B31" s="4" t="s">
        <v>83</v>
      </c>
      <c r="C31" s="4" t="s">
        <v>84</v>
      </c>
      <c r="D31" s="4">
        <v>40</v>
      </c>
      <c r="E31" s="4">
        <v>10</v>
      </c>
      <c r="F31" s="4" t="s">
        <v>17</v>
      </c>
      <c r="G31" t="str">
        <f t="shared" si="0"/>
        <v>13</v>
      </c>
      <c r="H31" t="str">
        <f>RIGHT(A31,2)</f>
        <v>CA</v>
      </c>
      <c r="I31" t="str">
        <f t="shared" si="2"/>
        <v>APR</v>
      </c>
    </row>
    <row r="32" spans="1:12" x14ac:dyDescent="0.25">
      <c r="A32" s="3" t="s">
        <v>85</v>
      </c>
      <c r="B32" s="3" t="s">
        <v>71</v>
      </c>
      <c r="C32" s="3" t="s">
        <v>86</v>
      </c>
      <c r="D32" s="3">
        <v>130</v>
      </c>
      <c r="E32" s="3">
        <v>5</v>
      </c>
      <c r="F32" s="3" t="s">
        <v>9</v>
      </c>
      <c r="G32" t="str">
        <f t="shared" si="0"/>
        <v>24</v>
      </c>
      <c r="H32" t="str">
        <f t="shared" si="1"/>
        <v>CA</v>
      </c>
      <c r="I32" t="str">
        <f t="shared" si="2"/>
        <v>MAY</v>
      </c>
    </row>
    <row r="33" spans="1:9" x14ac:dyDescent="0.25">
      <c r="A33" s="4" t="s">
        <v>87</v>
      </c>
      <c r="B33" s="4" t="s">
        <v>88</v>
      </c>
      <c r="C33" s="4" t="s">
        <v>89</v>
      </c>
      <c r="D33" s="4">
        <v>50</v>
      </c>
      <c r="E33" s="4">
        <v>50</v>
      </c>
      <c r="F33" s="4" t="s">
        <v>13</v>
      </c>
      <c r="G33" t="str">
        <f t="shared" si="0"/>
        <v>02</v>
      </c>
      <c r="H33" t="str">
        <f t="shared" si="1"/>
        <v>CA</v>
      </c>
      <c r="I33" t="str">
        <f t="shared" si="2"/>
        <v>DEC</v>
      </c>
    </row>
    <row r="34" spans="1:9" x14ac:dyDescent="0.25">
      <c r="A34" s="3" t="s">
        <v>40</v>
      </c>
      <c r="B34" s="3" t="s">
        <v>7</v>
      </c>
      <c r="C34" s="3" t="s">
        <v>41</v>
      </c>
      <c r="D34" s="3">
        <v>950</v>
      </c>
      <c r="E34" s="3">
        <v>25</v>
      </c>
      <c r="F34" s="3" t="s">
        <v>9</v>
      </c>
      <c r="G34" t="str">
        <f>LEFT(A34,2)</f>
        <v>17</v>
      </c>
      <c r="H34" t="str">
        <f t="shared" si="1"/>
        <v>IN</v>
      </c>
      <c r="I34" t="str">
        <f t="shared" si="2"/>
        <v>JUN</v>
      </c>
    </row>
    <row r="35" spans="1:9" x14ac:dyDescent="0.25">
      <c r="A35" s="4" t="s">
        <v>90</v>
      </c>
      <c r="B35" s="4" t="s">
        <v>91</v>
      </c>
      <c r="C35" s="4" t="s">
        <v>92</v>
      </c>
      <c r="D35" s="4">
        <v>100</v>
      </c>
      <c r="E35" s="4">
        <v>20</v>
      </c>
      <c r="F35" s="4" t="s">
        <v>53</v>
      </c>
      <c r="G35" t="str">
        <f t="shared" si="0"/>
        <v>09</v>
      </c>
      <c r="H35" t="str">
        <f t="shared" si="1"/>
        <v>FR</v>
      </c>
      <c r="I35" t="str">
        <f t="shared" si="2"/>
        <v>JUL</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C7D4-042D-49CB-B18D-94E806AD06D4}">
  <dimension ref="A1:K36"/>
  <sheetViews>
    <sheetView topLeftCell="A7" workbookViewId="0">
      <selection activeCell="C25" sqref="C25"/>
    </sheetView>
  </sheetViews>
  <sheetFormatPr defaultRowHeight="13.2" x14ac:dyDescent="0.25"/>
  <cols>
    <col min="1" max="1" width="13.33203125" bestFit="1" customWidth="1"/>
    <col min="2" max="3" width="15.21875" bestFit="1" customWidth="1"/>
    <col min="4" max="4" width="15.109375" bestFit="1" customWidth="1"/>
    <col min="6" max="6" width="13.33203125" bestFit="1" customWidth="1"/>
    <col min="7" max="7" width="15.21875" bestFit="1" customWidth="1"/>
    <col min="8" max="8" width="21.88671875" bestFit="1" customWidth="1"/>
    <col min="10" max="10" width="14.21875" bestFit="1" customWidth="1"/>
    <col min="11" max="11" width="15.109375" bestFit="1" customWidth="1"/>
  </cols>
  <sheetData>
    <row r="1" spans="1:11" x14ac:dyDescent="0.25">
      <c r="F1" s="22" t="s">
        <v>5</v>
      </c>
      <c r="G1" t="s" vm="1">
        <v>115</v>
      </c>
      <c r="J1" s="22" t="s">
        <v>5</v>
      </c>
      <c r="K1" t="s" vm="1">
        <v>115</v>
      </c>
    </row>
    <row r="2" spans="1:11" x14ac:dyDescent="0.25">
      <c r="J2" s="22" t="s">
        <v>116</v>
      </c>
      <c r="K2" t="s" vm="2">
        <v>115</v>
      </c>
    </row>
    <row r="3" spans="1:11" x14ac:dyDescent="0.25">
      <c r="A3" s="22" t="s">
        <v>110</v>
      </c>
      <c r="B3" t="s">
        <v>114</v>
      </c>
      <c r="C3" t="s">
        <v>113</v>
      </c>
      <c r="D3" t="s">
        <v>112</v>
      </c>
      <c r="F3" s="22" t="s">
        <v>110</v>
      </c>
      <c r="G3" t="s">
        <v>113</v>
      </c>
      <c r="H3" t="s">
        <v>114</v>
      </c>
    </row>
    <row r="4" spans="1:11" x14ac:dyDescent="0.25">
      <c r="A4" s="23" t="s">
        <v>53</v>
      </c>
      <c r="B4" s="24">
        <v>3</v>
      </c>
      <c r="C4" s="24">
        <v>90</v>
      </c>
      <c r="D4" s="24">
        <v>200</v>
      </c>
      <c r="F4" s="23" t="s">
        <v>30</v>
      </c>
      <c r="G4" s="24">
        <v>45</v>
      </c>
      <c r="H4" s="24">
        <v>2</v>
      </c>
      <c r="J4" s="22" t="s">
        <v>110</v>
      </c>
      <c r="K4" t="s">
        <v>112</v>
      </c>
    </row>
    <row r="5" spans="1:11" x14ac:dyDescent="0.25">
      <c r="A5" s="23" t="s">
        <v>9</v>
      </c>
      <c r="B5" s="24">
        <v>15</v>
      </c>
      <c r="C5" s="24">
        <v>410</v>
      </c>
      <c r="D5" s="24">
        <v>8050</v>
      </c>
      <c r="F5" s="23" t="s">
        <v>36</v>
      </c>
      <c r="G5" s="24">
        <v>50</v>
      </c>
      <c r="H5" s="24">
        <v>1</v>
      </c>
      <c r="J5" s="23" t="s">
        <v>32</v>
      </c>
      <c r="K5" s="24">
        <v>490</v>
      </c>
    </row>
    <row r="6" spans="1:11" x14ac:dyDescent="0.25">
      <c r="A6" s="23" t="s">
        <v>13</v>
      </c>
      <c r="B6" s="24">
        <v>7</v>
      </c>
      <c r="C6" s="24">
        <v>180</v>
      </c>
      <c r="D6" s="24">
        <v>590</v>
      </c>
      <c r="F6" s="23" t="s">
        <v>57</v>
      </c>
      <c r="G6" s="24">
        <v>10</v>
      </c>
      <c r="H6" s="24">
        <v>1</v>
      </c>
      <c r="J6" s="23" t="s">
        <v>65</v>
      </c>
      <c r="K6" s="24">
        <v>700</v>
      </c>
    </row>
    <row r="7" spans="1:11" x14ac:dyDescent="0.25">
      <c r="A7" s="23" t="s">
        <v>17</v>
      </c>
      <c r="B7" s="24">
        <v>6</v>
      </c>
      <c r="C7" s="24">
        <v>180</v>
      </c>
      <c r="D7" s="24">
        <v>860</v>
      </c>
      <c r="F7" s="23" t="s">
        <v>49</v>
      </c>
      <c r="G7" s="24">
        <v>40</v>
      </c>
      <c r="H7" s="24">
        <v>2</v>
      </c>
      <c r="J7" s="23" t="s">
        <v>15</v>
      </c>
      <c r="K7" s="24">
        <v>250</v>
      </c>
    </row>
    <row r="8" spans="1:11" x14ac:dyDescent="0.25">
      <c r="A8" s="23" t="s">
        <v>24</v>
      </c>
      <c r="B8" s="24">
        <v>3</v>
      </c>
      <c r="C8" s="24">
        <v>40</v>
      </c>
      <c r="D8" s="24">
        <v>400</v>
      </c>
      <c r="F8" s="23" t="s">
        <v>92</v>
      </c>
      <c r="G8" s="24">
        <v>20</v>
      </c>
      <c r="H8" s="24">
        <v>1</v>
      </c>
      <c r="J8" s="23" t="s">
        <v>71</v>
      </c>
      <c r="K8" s="24">
        <v>280</v>
      </c>
    </row>
    <row r="9" spans="1:11" x14ac:dyDescent="0.25">
      <c r="A9" s="23" t="s">
        <v>111</v>
      </c>
      <c r="B9" s="24">
        <v>34</v>
      </c>
      <c r="C9" s="24">
        <v>900</v>
      </c>
      <c r="D9" s="24">
        <v>10100</v>
      </c>
      <c r="F9" s="23" t="s">
        <v>63</v>
      </c>
      <c r="G9" s="24">
        <v>10</v>
      </c>
      <c r="H9" s="24">
        <v>1</v>
      </c>
      <c r="J9" s="23" t="s">
        <v>26</v>
      </c>
      <c r="K9" s="24">
        <v>680</v>
      </c>
    </row>
    <row r="10" spans="1:11" x14ac:dyDescent="0.25">
      <c r="F10" s="23" t="s">
        <v>8</v>
      </c>
      <c r="G10" s="24">
        <v>30</v>
      </c>
      <c r="H10" s="24">
        <v>1</v>
      </c>
      <c r="J10" s="23" t="s">
        <v>7</v>
      </c>
      <c r="K10" s="24">
        <v>3880</v>
      </c>
    </row>
    <row r="11" spans="1:11" x14ac:dyDescent="0.25">
      <c r="A11" s="22" t="s">
        <v>110</v>
      </c>
      <c r="B11" t="s">
        <v>113</v>
      </c>
      <c r="F11" s="23" t="s">
        <v>47</v>
      </c>
      <c r="G11" s="24">
        <v>15</v>
      </c>
      <c r="H11" s="24">
        <v>1</v>
      </c>
      <c r="J11" s="23" t="s">
        <v>19</v>
      </c>
      <c r="K11" s="24">
        <v>1700</v>
      </c>
    </row>
    <row r="12" spans="1:11" x14ac:dyDescent="0.25">
      <c r="A12" s="23" t="s">
        <v>53</v>
      </c>
      <c r="B12" s="24">
        <v>90</v>
      </c>
      <c r="F12" s="23" t="s">
        <v>86</v>
      </c>
      <c r="G12" s="24">
        <v>5</v>
      </c>
      <c r="H12" s="24">
        <v>1</v>
      </c>
      <c r="J12" s="23" t="s">
        <v>46</v>
      </c>
      <c r="K12" s="24">
        <v>310</v>
      </c>
    </row>
    <row r="13" spans="1:11" x14ac:dyDescent="0.25">
      <c r="A13" s="23" t="s">
        <v>9</v>
      </c>
      <c r="B13" s="24">
        <v>410</v>
      </c>
      <c r="F13" s="23" t="s">
        <v>74</v>
      </c>
      <c r="G13" s="24">
        <v>45</v>
      </c>
      <c r="H13" s="24">
        <v>1</v>
      </c>
      <c r="J13" s="23" t="s">
        <v>59</v>
      </c>
      <c r="K13" s="24">
        <v>280</v>
      </c>
    </row>
    <row r="14" spans="1:11" x14ac:dyDescent="0.25">
      <c r="A14" s="23" t="s">
        <v>13</v>
      </c>
      <c r="B14" s="24">
        <v>180</v>
      </c>
      <c r="F14" s="23" t="s">
        <v>84</v>
      </c>
      <c r="G14" s="24">
        <v>10</v>
      </c>
      <c r="H14" s="24">
        <v>1</v>
      </c>
      <c r="J14" s="23" t="s">
        <v>35</v>
      </c>
      <c r="K14" s="24">
        <v>500</v>
      </c>
    </row>
    <row r="15" spans="1:11" x14ac:dyDescent="0.25">
      <c r="A15" s="23" t="s">
        <v>17</v>
      </c>
      <c r="B15" s="24">
        <v>180</v>
      </c>
      <c r="F15" s="23" t="s">
        <v>41</v>
      </c>
      <c r="G15" s="24">
        <v>50</v>
      </c>
      <c r="H15" s="24">
        <v>2</v>
      </c>
      <c r="J15" s="23" t="s">
        <v>111</v>
      </c>
      <c r="K15" s="24">
        <v>9070</v>
      </c>
    </row>
    <row r="16" spans="1:11" x14ac:dyDescent="0.25">
      <c r="A16" s="23" t="s">
        <v>24</v>
      </c>
      <c r="B16" s="24">
        <v>40</v>
      </c>
      <c r="F16" s="23" t="s">
        <v>55</v>
      </c>
      <c r="G16" s="24">
        <v>15</v>
      </c>
      <c r="H16" s="24">
        <v>1</v>
      </c>
    </row>
    <row r="17" spans="1:8" x14ac:dyDescent="0.25">
      <c r="A17" s="23" t="s">
        <v>111</v>
      </c>
      <c r="B17" s="24">
        <v>900</v>
      </c>
      <c r="F17" s="23" t="s">
        <v>16</v>
      </c>
      <c r="G17" s="24">
        <v>40</v>
      </c>
      <c r="H17" s="24">
        <v>1</v>
      </c>
    </row>
    <row r="18" spans="1:8" x14ac:dyDescent="0.25">
      <c r="F18" s="23" t="s">
        <v>89</v>
      </c>
      <c r="G18" s="24">
        <v>50</v>
      </c>
      <c r="H18" s="24">
        <v>1</v>
      </c>
    </row>
    <row r="19" spans="1:8" x14ac:dyDescent="0.25">
      <c r="A19" s="13"/>
      <c r="B19" s="14"/>
      <c r="C19" s="15"/>
      <c r="F19" s="23" t="s">
        <v>44</v>
      </c>
      <c r="G19" s="24">
        <v>35</v>
      </c>
      <c r="H19" s="24">
        <v>1</v>
      </c>
    </row>
    <row r="20" spans="1:8" x14ac:dyDescent="0.25">
      <c r="A20" s="16"/>
      <c r="B20" s="17"/>
      <c r="C20" s="18"/>
      <c r="F20" s="23" t="s">
        <v>12</v>
      </c>
      <c r="G20" s="24">
        <v>15</v>
      </c>
      <c r="H20" s="24">
        <v>1</v>
      </c>
    </row>
    <row r="21" spans="1:8" x14ac:dyDescent="0.25">
      <c r="A21" s="16"/>
      <c r="B21" s="17"/>
      <c r="C21" s="18"/>
      <c r="F21" s="23" t="s">
        <v>66</v>
      </c>
      <c r="G21" s="24">
        <v>50</v>
      </c>
      <c r="H21" s="24">
        <v>1</v>
      </c>
    </row>
    <row r="22" spans="1:8" x14ac:dyDescent="0.25">
      <c r="A22" s="16"/>
      <c r="B22" s="17"/>
      <c r="C22" s="18"/>
      <c r="F22" s="23" t="s">
        <v>33</v>
      </c>
      <c r="G22" s="24">
        <v>35</v>
      </c>
      <c r="H22" s="24">
        <v>1</v>
      </c>
    </row>
    <row r="23" spans="1:8" x14ac:dyDescent="0.25">
      <c r="A23" s="16"/>
      <c r="B23" s="17"/>
      <c r="C23" s="18"/>
      <c r="F23" s="23" t="s">
        <v>23</v>
      </c>
      <c r="G23" s="24">
        <v>20</v>
      </c>
      <c r="H23" s="24">
        <v>1</v>
      </c>
    </row>
    <row r="24" spans="1:8" x14ac:dyDescent="0.25">
      <c r="A24" s="16"/>
      <c r="B24" s="17"/>
      <c r="C24" s="18"/>
      <c r="F24" s="23" t="s">
        <v>60</v>
      </c>
      <c r="G24" s="24">
        <v>15</v>
      </c>
      <c r="H24" s="24">
        <v>1</v>
      </c>
    </row>
    <row r="25" spans="1:8" x14ac:dyDescent="0.25">
      <c r="A25" s="16"/>
      <c r="B25" s="17"/>
      <c r="C25" s="18"/>
      <c r="F25" s="23" t="s">
        <v>69</v>
      </c>
      <c r="G25" s="24">
        <v>20</v>
      </c>
      <c r="H25" s="24">
        <v>1</v>
      </c>
    </row>
    <row r="26" spans="1:8" x14ac:dyDescent="0.25">
      <c r="A26" s="16"/>
      <c r="B26" s="17"/>
      <c r="C26" s="18"/>
      <c r="F26" s="23" t="s">
        <v>76</v>
      </c>
      <c r="G26" s="24">
        <v>25</v>
      </c>
      <c r="H26" s="24">
        <v>1</v>
      </c>
    </row>
    <row r="27" spans="1:8" x14ac:dyDescent="0.25">
      <c r="A27" s="16"/>
      <c r="B27" s="17"/>
      <c r="C27" s="18"/>
      <c r="F27" s="23" t="s">
        <v>52</v>
      </c>
      <c r="G27" s="24">
        <v>70</v>
      </c>
      <c r="H27" s="24">
        <v>2</v>
      </c>
    </row>
    <row r="28" spans="1:8" x14ac:dyDescent="0.25">
      <c r="A28" s="16"/>
      <c r="B28" s="17"/>
      <c r="C28" s="18"/>
      <c r="F28" s="23" t="s">
        <v>20</v>
      </c>
      <c r="G28" s="24">
        <v>25</v>
      </c>
      <c r="H28" s="24">
        <v>1</v>
      </c>
    </row>
    <row r="29" spans="1:8" x14ac:dyDescent="0.25">
      <c r="A29" s="16"/>
      <c r="B29" s="17"/>
      <c r="C29" s="18"/>
      <c r="F29" s="23" t="s">
        <v>27</v>
      </c>
      <c r="G29" s="24">
        <v>45</v>
      </c>
      <c r="H29" s="24">
        <v>1</v>
      </c>
    </row>
    <row r="30" spans="1:8" x14ac:dyDescent="0.25">
      <c r="A30" s="16"/>
      <c r="B30" s="17"/>
      <c r="C30" s="18"/>
      <c r="F30" s="23" t="s">
        <v>39</v>
      </c>
      <c r="G30" s="24">
        <v>10</v>
      </c>
      <c r="H30" s="24">
        <v>1</v>
      </c>
    </row>
    <row r="31" spans="1:8" x14ac:dyDescent="0.25">
      <c r="A31" s="16"/>
      <c r="B31" s="17"/>
      <c r="C31" s="18"/>
      <c r="F31" s="23" t="s">
        <v>78</v>
      </c>
      <c r="G31" s="24">
        <v>40</v>
      </c>
      <c r="H31" s="24">
        <v>1</v>
      </c>
    </row>
    <row r="32" spans="1:8" x14ac:dyDescent="0.25">
      <c r="A32" s="16"/>
      <c r="B32" s="17"/>
      <c r="C32" s="18"/>
      <c r="F32" s="23" t="s">
        <v>72</v>
      </c>
      <c r="G32" s="24">
        <v>30</v>
      </c>
      <c r="H32" s="24">
        <v>1</v>
      </c>
    </row>
    <row r="33" spans="1:8" x14ac:dyDescent="0.25">
      <c r="A33" s="16"/>
      <c r="B33" s="17"/>
      <c r="C33" s="18"/>
      <c r="F33" s="23" t="s">
        <v>81</v>
      </c>
      <c r="G33" s="24">
        <v>30</v>
      </c>
      <c r="H33" s="24">
        <v>1</v>
      </c>
    </row>
    <row r="34" spans="1:8" x14ac:dyDescent="0.25">
      <c r="A34" s="16"/>
      <c r="B34" s="17"/>
      <c r="C34" s="18"/>
      <c r="F34" s="23" t="s">
        <v>111</v>
      </c>
      <c r="G34" s="24">
        <v>900</v>
      </c>
      <c r="H34" s="24">
        <v>34</v>
      </c>
    </row>
    <row r="35" spans="1:8" x14ac:dyDescent="0.25">
      <c r="A35" s="16"/>
      <c r="B35" s="17"/>
      <c r="C35" s="18"/>
    </row>
    <row r="36" spans="1:8" x14ac:dyDescent="0.25">
      <c r="A36" s="19"/>
      <c r="B36" s="20"/>
      <c r="C36"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7174-2171-4DC6-8CE7-8760EDA27B2D}">
  <dimension ref="A1:AK48"/>
  <sheetViews>
    <sheetView topLeftCell="A5" zoomScale="85" zoomScaleNormal="85" workbookViewId="0">
      <selection activeCell="AA26" sqref="AA26"/>
    </sheetView>
  </sheetViews>
  <sheetFormatPr defaultRowHeight="13.2" x14ac:dyDescent="0.25"/>
  <sheetData>
    <row r="1" spans="1:37" x14ac:dyDescent="0.25">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row>
    <row r="2" spans="1:37"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row>
    <row r="3" spans="1:37"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row>
    <row r="4" spans="1:37"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row>
    <row r="5" spans="1:37" x14ac:dyDescent="0.2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row>
    <row r="6" spans="1:37" x14ac:dyDescent="0.2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row>
    <row r="7" spans="1:37" x14ac:dyDescent="0.2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row>
    <row r="8" spans="1:37"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row>
    <row r="9" spans="1:37"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row>
    <row r="10" spans="1:37"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row>
    <row r="11" spans="1:37"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row>
    <row r="12" spans="1:37" ht="3" customHeight="1"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row>
    <row r="13" spans="1:37"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row>
    <row r="14" spans="1:37"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row>
    <row r="15" spans="1:37"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row>
    <row r="16" spans="1:37"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row>
    <row r="17" spans="1:37"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row>
    <row r="18" spans="1:37"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row>
    <row r="19" spans="1:37"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row>
    <row r="20" spans="1:37"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row>
    <row r="21" spans="1:37"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row>
    <row r="22" spans="1:37"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row>
    <row r="23" spans="1:37"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row>
    <row r="24" spans="1:37"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row>
    <row r="25" spans="1:37"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row>
    <row r="26" spans="1:37"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row>
    <row r="27" spans="1:37"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row>
    <row r="28" spans="1:37"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row>
    <row r="29" spans="1:37"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row>
    <row r="30" spans="1:37"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37"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row>
    <row r="32" spans="1:37"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row>
    <row r="33" spans="1:37"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row>
    <row r="34" spans="1:37"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row>
    <row r="35" spans="1:37"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row>
    <row r="36" spans="1:37" s="27" customFormat="1"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row>
    <row r="37" spans="1:37" s="27" customFormat="1" x14ac:dyDescent="0.25"/>
    <row r="38" spans="1:37" s="27" customFormat="1" x14ac:dyDescent="0.25"/>
    <row r="39" spans="1:37" s="27" customFormat="1" x14ac:dyDescent="0.25"/>
    <row r="40" spans="1:37" s="27" customFormat="1" x14ac:dyDescent="0.25"/>
    <row r="41" spans="1:37" s="27" customFormat="1" x14ac:dyDescent="0.25"/>
    <row r="42" spans="1:37" s="27" customFormat="1" x14ac:dyDescent="0.25"/>
    <row r="43" spans="1:37" s="27" customFormat="1" x14ac:dyDescent="0.25"/>
    <row r="44" spans="1:37" s="27" customFormat="1" x14ac:dyDescent="0.25"/>
    <row r="45" spans="1:37" s="27" customFormat="1" x14ac:dyDescent="0.25"/>
    <row r="46" spans="1:37" s="27" customFormat="1" x14ac:dyDescent="0.25"/>
    <row r="47" spans="1:37" s="27" customFormat="1" x14ac:dyDescent="0.25"/>
    <row r="48" spans="1:37" s="2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SUM,COUNT,AVERAGE</vt:lpstr>
      <vt:lpstr>MIN,MAX</vt:lpstr>
      <vt:lpstr>IF</vt:lpstr>
      <vt:lpstr>SUMIF,COUNTIF</vt:lpstr>
      <vt:lpstr>LEFT,RIGHT,MID</vt:lpstr>
      <vt:lpstr>pivot table</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2026-10-10T12:25:47Z</dcterms:created>
  <dcterms:modified xsi:type="dcterms:W3CDTF">2026-10-10T12:25:48Z</dcterms:modified>
</cp:coreProperties>
</file>